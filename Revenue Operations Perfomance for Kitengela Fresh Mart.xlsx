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D9DADD8-AD6F-4574-B4FA-EFE994A0FEA8}" xr6:coauthVersionLast="47" xr6:coauthVersionMax="47" xr10:uidLastSave="{00000000-0000-0000-0000-000000000000}"/>
  <bookViews>
    <workbookView xWindow="-110" yWindow="-110" windowWidth="19420" windowHeight="10300" firstSheet="2" activeTab="4" xr2:uid="{467F94F4-78B2-44D3-A81C-7031F699592D}"/>
  </bookViews>
  <sheets>
    <sheet name="Sales_Data" sheetId="1" r:id="rId1"/>
    <sheet name="Expense_Data" sheetId="2" r:id="rId2"/>
    <sheet name="Inventory_Data" sheetId="3" r:id="rId3"/>
    <sheet name="Employee_Perfomance" sheetId="4" r:id="rId4"/>
    <sheet name="KPI Calculations" sheetId="5" r:id="rId5"/>
  </sheets>
  <definedNames>
    <definedName name="_xlnm._FilterDatabase" localSheetId="1" hidden="1">Expense_Data!$A$1:$D$1</definedName>
    <definedName name="_xlnm._FilterDatabase" localSheetId="2" hidden="1">Inventory_Data!$A$1:$G$1</definedName>
    <definedName name="_xlnm._FilterDatabase" localSheetId="4" hidden="1">'KPI Calculations'!$A$1:$B$1</definedName>
    <definedName name="_xlnm._FilterDatabase" localSheetId="0" hidden="1">Sales_Data!$A$1:$G$128</definedName>
  </definedNames>
  <calcPr calcId="191029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/>
  <c r="B11" i="5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H3" i="2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B10" i="5"/>
  <c r="B9" i="5"/>
  <c r="B8" i="5"/>
  <c r="F11" i="3"/>
  <c r="H11" i="3" s="1"/>
  <c r="H3" i="3"/>
  <c r="H4" i="3"/>
  <c r="H5" i="3"/>
  <c r="H6" i="3"/>
  <c r="H7" i="3"/>
  <c r="H8" i="3"/>
  <c r="H9" i="3"/>
  <c r="H10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2" i="3"/>
  <c r="B3" i="5"/>
  <c r="F9" i="3"/>
  <c r="F10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4" i="3"/>
  <c r="F5" i="3"/>
  <c r="F6" i="3"/>
  <c r="F7" i="3"/>
  <c r="F8" i="3"/>
  <c r="F3" i="3"/>
  <c r="F2" i="3"/>
  <c r="F2" i="1"/>
  <c r="I1" i="1" l="1"/>
  <c r="I30" i="1"/>
  <c r="B6" i="5"/>
  <c r="B2" i="5"/>
  <c r="B4" i="5" s="1"/>
  <c r="B5" i="5" s="1"/>
</calcChain>
</file>

<file path=xl/sharedStrings.xml><?xml version="1.0" encoding="utf-8"?>
<sst xmlns="http://schemas.openxmlformats.org/spreadsheetml/2006/main" count="675" uniqueCount="108">
  <si>
    <t>Date</t>
  </si>
  <si>
    <t>Product_Category</t>
  </si>
  <si>
    <t>Product_Name</t>
  </si>
  <si>
    <t>Units_Sold</t>
  </si>
  <si>
    <t>Unit_Price</t>
  </si>
  <si>
    <t>Payment_Method</t>
  </si>
  <si>
    <t>Beverages</t>
  </si>
  <si>
    <t>Soda 500ml</t>
  </si>
  <si>
    <t>Dairy</t>
  </si>
  <si>
    <t>Milk 500ml</t>
  </si>
  <si>
    <t>Expense_Category</t>
  </si>
  <si>
    <t>Description</t>
  </si>
  <si>
    <t>Amount</t>
  </si>
  <si>
    <t>Rent</t>
  </si>
  <si>
    <t>Opening_Stock</t>
  </si>
  <si>
    <t>Stock_Added</t>
  </si>
  <si>
    <t>Closing_Stock</t>
  </si>
  <si>
    <t>Reorder_Level</t>
  </si>
  <si>
    <t>Employee_Name</t>
  </si>
  <si>
    <t>Month</t>
  </si>
  <si>
    <t>Days_Present</t>
  </si>
  <si>
    <t>Late_Arrivals</t>
  </si>
  <si>
    <t>Tasks_Completed</t>
  </si>
  <si>
    <t>Cash</t>
  </si>
  <si>
    <t>Water 1L</t>
  </si>
  <si>
    <t>Revenue</t>
  </si>
  <si>
    <t>M-Pesa</t>
  </si>
  <si>
    <t>Juice 1L</t>
  </si>
  <si>
    <t>Card</t>
  </si>
  <si>
    <t>Yogurt 250g</t>
  </si>
  <si>
    <t>Household</t>
  </si>
  <si>
    <t>Soap Bar</t>
  </si>
  <si>
    <t>Detergent</t>
  </si>
  <si>
    <t>Snacks</t>
  </si>
  <si>
    <t>Biscuits</t>
  </si>
  <si>
    <t>Crisps</t>
  </si>
  <si>
    <t>Produce</t>
  </si>
  <si>
    <t>Bananas</t>
  </si>
  <si>
    <t>Tomatoes</t>
  </si>
  <si>
    <t>Personal Care</t>
  </si>
  <si>
    <t>Toothpaste</t>
  </si>
  <si>
    <t>Body Wash</t>
  </si>
  <si>
    <t>Monthly Shop Rent</t>
  </si>
  <si>
    <t>Utilities</t>
  </si>
  <si>
    <t>Electricity Bill</t>
  </si>
  <si>
    <t>Transport</t>
  </si>
  <si>
    <t>Supplier Delivery</t>
  </si>
  <si>
    <t>Inventory Purchase</t>
  </si>
  <si>
    <t>Beverage Stock Restock</t>
  </si>
  <si>
    <t>Salaries</t>
  </si>
  <si>
    <t>Staff Salaries</t>
  </si>
  <si>
    <t>Marketing</t>
  </si>
  <si>
    <t>Flyer Printing</t>
  </si>
  <si>
    <t>Repairs</t>
  </si>
  <si>
    <t>Fridge Maintenance</t>
  </si>
  <si>
    <t>Dairy Stock Restock</t>
  </si>
  <si>
    <t>Water Bill</t>
  </si>
  <si>
    <t>Social Media Promotion</t>
  </si>
  <si>
    <t>Snacks Stock Restock</t>
  </si>
  <si>
    <t>Shelf Repair</t>
  </si>
  <si>
    <t>Internet Bill</t>
  </si>
  <si>
    <t>Staff Overtime Payment</t>
  </si>
  <si>
    <t>Household Stock Restock</t>
  </si>
  <si>
    <t>Poster Campaign</t>
  </si>
  <si>
    <t>POS Machine Repair</t>
  </si>
  <si>
    <t>Produce Stock Restock</t>
  </si>
  <si>
    <t>Customer Discount Campaign</t>
  </si>
  <si>
    <t>Personal Care Stock Restock</t>
  </si>
  <si>
    <t>Lighting Repair</t>
  </si>
  <si>
    <t>Radio Advertisement</t>
  </si>
  <si>
    <t>Freezer Repair</t>
  </si>
  <si>
    <t>Weekend Promotion Campaign</t>
  </si>
  <si>
    <t>Door Lock Replacement</t>
  </si>
  <si>
    <t>Easter Promotion Campaign</t>
  </si>
  <si>
    <t>Holiday Stock Restock</t>
  </si>
  <si>
    <t>Generator Repair</t>
  </si>
  <si>
    <t>Mary Wanjiku</t>
  </si>
  <si>
    <t>January</t>
  </si>
  <si>
    <t>Peter Kamau</t>
  </si>
  <si>
    <t>Jane Njeri</t>
  </si>
  <si>
    <t>Brian Otieno</t>
  </si>
  <si>
    <t>Faith Achieng</t>
  </si>
  <si>
    <t>February</t>
  </si>
  <si>
    <t>March</t>
  </si>
  <si>
    <t>April</t>
  </si>
  <si>
    <t>KPI Name</t>
  </si>
  <si>
    <t>Value</t>
  </si>
  <si>
    <t>Total Revenue</t>
  </si>
  <si>
    <t>Total Expenses</t>
  </si>
  <si>
    <t>Gross Profit</t>
  </si>
  <si>
    <t>Profit Margin %</t>
  </si>
  <si>
    <t>Average Daily Sales</t>
  </si>
  <si>
    <t>Highest Revenue Category</t>
  </si>
  <si>
    <t>Stockout Count</t>
  </si>
  <si>
    <t>Average Attendance Rate %</t>
  </si>
  <si>
    <t>Average Late Arrivals</t>
  </si>
  <si>
    <t>Lowest Inventory Product</t>
  </si>
  <si>
    <t>Highest Expense Category</t>
  </si>
  <si>
    <t>Petroleum Jelly</t>
  </si>
  <si>
    <t>Row Labels</t>
  </si>
  <si>
    <t>Grand Total</t>
  </si>
  <si>
    <t>Sum of Revenue</t>
  </si>
  <si>
    <t xml:space="preserve">REVENUE </t>
  </si>
  <si>
    <t>Total Expense</t>
  </si>
  <si>
    <t>Stock status</t>
  </si>
  <si>
    <t>Productivity_score</t>
  </si>
  <si>
    <t>Column Labels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</si>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</sst>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5" fontId="0" fillId="0" borderId="0" xfId="0" applyNumberFormat="1"/>
    <xf numFmtId="0" fontId="1" fillId="0" borderId="0" xfId="0" applyFon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Operations Perfomance for Kitengela Fresh Mart.xlsx]Sales_Data!PivotTable6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Sales_Data!$J$9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Sales_Data!$I$10:$I$24</c:f>
              <c:strCache>
                <c:ptCount val="14"/>
                <c:pt idx="0">
                  <c:v>Bananas</c:v>
                </c:pt>
                <c:pt idx="1">
                  <c:v>Biscuits</c:v>
                </c:pt>
                <c:pt idx="2">
                  <c:v>Body Wash</c:v>
                </c:pt>
                <c:pt idx="3">
                  <c:v>Crisps</c:v>
                </c:pt>
                <c:pt idx="4">
                  <c:v>Detergent</c:v>
                </c:pt>
                <c:pt idx="5">
                  <c:v>Juice 1L</c:v>
                </c:pt>
                <c:pt idx="6">
                  <c:v>Milk 500ml</c:v>
                </c:pt>
                <c:pt idx="7">
                  <c:v>Petroleum Jelly</c:v>
                </c:pt>
                <c:pt idx="8">
                  <c:v>Soap Bar</c:v>
                </c:pt>
                <c:pt idx="9">
                  <c:v>Soda 500ml</c:v>
                </c:pt>
                <c:pt idx="10">
                  <c:v>Tomatoes</c:v>
                </c:pt>
                <c:pt idx="11">
                  <c:v>Toothpaste</c:v>
                </c:pt>
                <c:pt idx="12">
                  <c:v>Water 1L</c:v>
                </c:pt>
                <c:pt idx="13">
                  <c:v>Yogurt 250g</c:v>
                </c:pt>
              </c:strCache>
            </c:strRef>
          </c:cat>
          <c:val>
            <c:numRef>
              <c:f>Sales_Data!$J$10:$J$24</c:f>
              <c:numCache>
                <c:formatCode>General</c:formatCode>
                <c:ptCount val="14"/>
                <c:pt idx="0">
                  <c:v>16380</c:v>
                </c:pt>
                <c:pt idx="1">
                  <c:v>88210</c:v>
                </c:pt>
                <c:pt idx="2">
                  <c:v>150400</c:v>
                </c:pt>
                <c:pt idx="3">
                  <c:v>45150</c:v>
                </c:pt>
                <c:pt idx="4">
                  <c:v>59520</c:v>
                </c:pt>
                <c:pt idx="5">
                  <c:v>211050</c:v>
                </c:pt>
                <c:pt idx="6">
                  <c:v>109260</c:v>
                </c:pt>
                <c:pt idx="7">
                  <c:v>80000</c:v>
                </c:pt>
                <c:pt idx="8">
                  <c:v>51240</c:v>
                </c:pt>
                <c:pt idx="9">
                  <c:v>141040</c:v>
                </c:pt>
                <c:pt idx="10">
                  <c:v>18270</c:v>
                </c:pt>
                <c:pt idx="11">
                  <c:v>84120</c:v>
                </c:pt>
                <c:pt idx="12">
                  <c:v>139300</c:v>
                </c:pt>
                <c:pt idx="13">
                  <c:v>104230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E-4E39-B15E-ABEEAD36E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15508863"/>
        <c:axId val="1315516063"/>
      </c:barChart>
      <c:catAx>
        <c:axId val="131550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516063"/>
        <c:crosses val="autoZero"/>
        <c:auto val="1"/>
        <c:lblAlgn val="ctr"/>
        <c:lblOffset val="100"/>
        <c:noMultiLvlLbl val="0"/>
      </c:catAx>
      <c:valAx>
        <c:axId val="131551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50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Operations Perfomance for Kitengela Fresh Mart.xlsx]Expense_Data!PivotTable2</c:name>
    <c:fmtId val="1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Expense_Data!$H$6:$H$7</c:f>
              <c:strCache>
                <c:ptCount val="1"/>
                <c:pt idx="0">
                  <c:v>Inventory Purchase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Expense_Data!$G$8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Expense_Data!$H$8</c:f>
              <c:numCache>
                <c:formatCode>General</c:formatCode>
                <c:ptCount val="1"/>
                <c:pt idx="0">
                  <c:v>251500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3-4C81-B00B-308DF9A79A2F}"/>
            </c:ext>
          </c:extLst>
        </c:ser>
        <c:ser>
          <c:idx val="1"/>
          <c:order val="1"/>
          <c:tx>
            <c:strRef>
              <c:f>Expense_Data!$I$6:$I$7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Expense_Data!$G$8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Expense_Data!$I$8</c:f>
              <c:numCache>
                <c:formatCode>General</c:formatCode>
                <c:ptCount val="1"/>
                <c:pt idx="0">
                  <c:v>44100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3-4C81-B00B-308DF9A79A2F}"/>
            </c:ext>
          </c:extLst>
        </c:ser>
        <c:ser>
          <c:idx val="2"/>
          <c:order val="2"/>
          <c:tx>
            <c:strRef>
              <c:f>Expense_Data!$J$6:$J$7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Expense_Data!$G$8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Expense_Data!$J$8</c:f>
              <c:numCache>
                <c:formatCode>General</c:formatCode>
                <c:ptCount val="1"/>
                <c:pt idx="0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13-4C81-B00B-308DF9A79A2F}"/>
            </c:ext>
          </c:extLst>
        </c:ser>
        <c:ser>
          <c:idx val="3"/>
          <c:order val="3"/>
          <c:tx>
            <c:strRef>
              <c:f>Expense_Data!$K$6:$K$7</c:f>
              <c:strCache>
                <c:ptCount val="1"/>
                <c:pt idx="0">
                  <c:v>Repairs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Expense_Data!$G$8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Expense_Data!$K$8</c:f>
              <c:numCache>
                <c:formatCode>General</c:formatCode>
                <c:ptCount val="1"/>
                <c:pt idx="0">
                  <c:v>46900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13-4C81-B00B-308DF9A79A2F}"/>
            </c:ext>
          </c:extLst>
        </c:ser>
        <c:ser>
          <c:idx val="4"/>
          <c:order val="4"/>
          <c:tx>
            <c:strRef>
              <c:f>Expense_Data!$L$6:$L$7</c:f>
              <c:strCache>
                <c:ptCount val="1"/>
                <c:pt idx="0">
                  <c:v>Salaries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Expense_Data!$G$8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Expense_Data!$L$8</c:f>
              <c:numCache>
                <c:formatCode>General</c:formatCode>
                <c:ptCount val="1"/>
                <c:pt idx="0">
                  <c:v>281500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13-4C81-B00B-308DF9A79A2F}"/>
            </c:ext>
          </c:extLst>
        </c:ser>
        <c:ser>
          <c:idx val="5"/>
          <c:order val="5"/>
          <c:tx>
            <c:strRef>
              <c:f>Expense_Data!$M$6:$M$7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Expense_Data!$G$8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Expense_Data!$M$8</c:f>
              <c:numCache>
                <c:formatCode>General</c:formatCode>
                <c:ptCount val="1"/>
                <c:pt idx="0">
                  <c:v>85800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13-4C81-B00B-308DF9A79A2F}"/>
            </c:ext>
          </c:extLst>
        </c:ser>
        <c:ser>
          <c:idx val="6"/>
          <c:order val="6"/>
          <c:tx>
            <c:strRef>
              <c:f>Expense_Data!$N$6:$N$7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Expense_Data!$G$8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Expense_Data!$N$8</c:f>
              <c:numCache>
                <c:formatCode>General</c:formatCode>
                <c:ptCount val="1"/>
                <c:pt idx="0">
                  <c:v>53100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13-4C81-B00B-308DF9A79A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15541503"/>
        <c:axId val="1315545823"/>
      </c:barChart>
      <c:catAx>
        <c:axId val="131554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545823"/>
        <c:crosses val="autoZero"/>
        <c:auto val="1"/>
        <c:lblAlgn val="ctr"/>
        <c:lblOffset val="100"/>
        <c:noMultiLvlLbl val="0"/>
      </c:catAx>
      <c:valAx>
        <c:axId val="13155458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1554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Operations Perfomance for Kitengela Fresh Mart.xlsx]KPI Calculations!PivotTable1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Calculations'!$F$5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 Calculations'!$E$6:$E$12</c:f>
              <c:strCache>
                <c:ptCount val="6"/>
                <c:pt idx="0">
                  <c:v>Beverages</c:v>
                </c:pt>
                <c:pt idx="1">
                  <c:v>Dairy</c:v>
                </c:pt>
                <c:pt idx="2">
                  <c:v>Household</c:v>
                </c:pt>
                <c:pt idx="3">
                  <c:v>Personal Care</c:v>
                </c:pt>
                <c:pt idx="4">
                  <c:v>Produce</c:v>
                </c:pt>
                <c:pt idx="5">
                  <c:v>Snacks</c:v>
                </c:pt>
              </c:strCache>
            </c:strRef>
          </c:cat>
          <c:val>
            <c:numRef>
              <c:f>'KPI Calculations'!$F$6:$F$12</c:f>
              <c:numCache>
                <c:formatCode>General</c:formatCode>
                <c:ptCount val="6"/>
                <c:pt idx="0">
                  <c:v>491390</c:v>
                </c:pt>
                <c:pt idx="1">
                  <c:v>213490</c:v>
                </c:pt>
                <c:pt idx="2">
                  <c:v>110760</c:v>
                </c:pt>
                <c:pt idx="3">
                  <c:v>314520</c:v>
                </c:pt>
                <c:pt idx="4">
                  <c:v>34650</c:v>
                </c:pt>
                <c:pt idx="5">
                  <c:v>133360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5-4628-ABDA-E28F66128A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15533823"/>
        <c:axId val="1315530463"/>
      </c:barChart>
      <c:catAx>
        <c:axId val="131553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530463"/>
        <c:crosses val="autoZero"/>
        <c:auto val="1"/>
        <c:lblAlgn val="ctr"/>
        <c:lblOffset val="100"/>
        <c:noMultiLvlLbl val="0"/>
      </c:catAx>
      <c:valAx>
        <c:axId val="131553046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1553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139700</xdr:colOff>
      <xdr:row>5</xdr:row>
      <xdr:rowOff>107950</xdr:rowOff>
    </xdr:from>
    <xdr:to>
      <xdr:col>16</xdr:col>
      <xdr:colOff>298450</xdr:colOff>
      <xdr:row>20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FFAF4-DA20-2E05-E30F-F0BC44CFA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155575</xdr:colOff>
      <xdr:row>8</xdr:row>
      <xdr:rowOff>82550</xdr:rowOff>
    </xdr:from>
    <xdr:to>
      <xdr:col>12</xdr:col>
      <xdr:colOff>422275</xdr:colOff>
      <xdr:row>23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CB31F4-712B-3934-8F9F-72D5AFC27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88900</xdr:colOff>
      <xdr:row>4</xdr:row>
      <xdr:rowOff>12700</xdr:rowOff>
    </xdr:from>
    <xdr:to>
      <xdr:col>13</xdr:col>
      <xdr:colOff>28575</xdr:colOff>
      <xdr:row>18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77BEDE-9A3A-BDF4-883F-0A572090D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62.249927546298" createdVersion="8" refreshedVersion="8" minRefreshableVersion="3" recordCount="53" xr:uid="{9705D0AA-BC10-419D-B7A9-C59223D90F4F}">
  <cacheSource type="worksheet">
    <worksheetSource ref="A1:D54" sheet="Expense_Data"/>
  </cacheSource>
  <cacheFields count="4">
    <cacheField name="Date" numFmtId="15">
      <sharedItems containsSemiMixedTypes="0" containsNonDate="0" containsDate="1" containsString="0" minDate="2026-01-01T00:00:00" maxDate="2026-05-01T00:00:00"/>
    </cacheField>
    <cacheField name="Expense_Category" numFmtId="0">
      <sharedItems count="7">
        <s v="Rent"/>
        <s v="Utilities"/>
        <s v="Transport"/>
        <s v="Inventory Purchase"/>
        <s v="Salaries"/>
        <s v="Marketing"/>
        <s v="Repairs"/>
      </sharedItems>
    </cacheField>
    <cacheField name="Description" numFmtId="0">
      <sharedItems/>
    </cacheField>
    <cacheField name="Amount" numFmtId="0">
      <sharedItems containsSemiMixedTypes="0" containsString="0" containsNumber="1" containsInteger="1" minValue="2800" maxValue="6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62.280699421295" createdVersion="8" refreshedVersion="8" minRefreshableVersion="3" recordCount="127" xr:uid="{E2738712-EE51-44CE-A583-CA40661731AA}">
  <cacheSource type="worksheet">
    <worksheetSource ref="B1:G128" sheet="Sales_Data"/>
  </cacheSource>
  <cacheFields count="6">
    <cacheField name="Product_Category" numFmtId="0">
      <sharedItems count="6">
        <s v="Snacks"/>
        <s v="Personal Care"/>
        <s v="Beverages"/>
        <s v="Dairy"/>
        <s v="Household"/>
        <s v="Produce"/>
      </sharedItems>
    </cacheField>
    <cacheField name="Product_Name" numFmtId="0">
      <sharedItems count="14">
        <s v="Biscuits"/>
        <s v="Petroleum Jelly"/>
        <s v="Soda 500ml"/>
        <s v="Yogurt 250g"/>
        <s v="Toothpaste"/>
        <s v="Water 1L"/>
        <s v="Crisps"/>
        <s v="Milk 500ml"/>
        <s v="Juice 1L"/>
        <s v="Soap Bar"/>
        <s v="Detergent"/>
        <s v="Bananas"/>
        <s v="Tomatoes"/>
        <s v="Body Wash"/>
      </sharedItems>
    </cacheField>
    <cacheField name="Units_Sold" numFmtId="0">
      <sharedItems containsSemiMixedTypes="0" containsString="0" containsNumber="1" containsInteger="1" minValue="5" maxValue="2500"/>
    </cacheField>
    <cacheField name="Unit_Price" numFmtId="0">
      <sharedItems containsSemiMixedTypes="0" containsString="0" containsNumber="1" containsInteger="1" minValue="5" maxValue="200"/>
    </cacheField>
    <cacheField name="Revenue" numFmtId="0">
      <sharedItems containsSemiMixedTypes="0" containsString="0" containsNumber="1" containsInteger="1" minValue="360" maxValue="150000"/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62.286055902776" createdVersion="8" refreshedVersion="8" minRefreshableVersion="3" recordCount="127" xr:uid="{831DA9AA-833A-4F37-9857-4A0573C57300}">
  <cacheSource type="worksheet">
    <worksheetSource ref="A1:G128" sheet="Sales_Data"/>
  </cacheSource>
  <cacheFields count="7">
    <cacheField name="Date" numFmtId="15">
      <sharedItems containsSemiMixedTypes="0" containsNonDate="0" containsDate="1" containsString="0" minDate="2026-01-01T00:00:00" maxDate="2026-05-01T00:00:00"/>
    </cacheField>
    <cacheField name="Product_Category" numFmtId="0">
      <sharedItems count="6">
        <s v="Snacks"/>
        <s v="Personal Care"/>
        <s v="Beverages"/>
        <s v="Dairy"/>
        <s v="Household"/>
        <s v="Produce"/>
      </sharedItems>
    </cacheField>
    <cacheField name="Product_Name" numFmtId="0">
      <sharedItems/>
    </cacheField>
    <cacheField name="Units_Sold" numFmtId="0">
      <sharedItems containsSemiMixedTypes="0" containsString="0" containsNumber="1" containsInteger="1" minValue="5" maxValue="2500"/>
    </cacheField>
    <cacheField name="Unit_Price" numFmtId="0">
      <sharedItems containsSemiMixedTypes="0" containsString="0" containsNumber="1" containsInteger="1" minValue="5" maxValue="200"/>
    </cacheField>
    <cacheField name="Revenue" numFmtId="0">
      <sharedItems containsSemiMixedTypes="0" containsString="0" containsNumber="1" containsInteger="1" minValue="360" maxValue="150000"/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d v="2026-01-01T00:00:00"/>
    <x v="0"/>
    <s v="Monthly Shop Rent"/>
    <n v="45000"/>
  </r>
  <r>
    <d v="2026-01-03T00:00:00"/>
    <x v="1"/>
    <s v="Electricity Bill"/>
    <n v="8500"/>
  </r>
  <r>
    <d v="2026-01-05T00:00:00"/>
    <x v="2"/>
    <s v="Supplier Delivery"/>
    <n v="7200"/>
  </r>
  <r>
    <d v="2026-01-07T00:00:00"/>
    <x v="3"/>
    <s v="Beverage Stock Restock"/>
    <n v="28000"/>
  </r>
  <r>
    <d v="2026-01-09T00:00:00"/>
    <x v="4"/>
    <s v="Staff Salaries"/>
    <n v="65000"/>
  </r>
  <r>
    <d v="2026-01-11T00:00:00"/>
    <x v="5"/>
    <s v="Flyer Printing"/>
    <n v="4500"/>
  </r>
  <r>
    <d v="2026-01-13T00:00:00"/>
    <x v="6"/>
    <s v="Fridge Maintenance"/>
    <n v="6200"/>
  </r>
  <r>
    <d v="2026-01-15T00:00:00"/>
    <x v="2"/>
    <s v="Supplier Delivery"/>
    <n v="7600"/>
  </r>
  <r>
    <d v="2026-01-17T00:00:00"/>
    <x v="3"/>
    <s v="Dairy Stock Restock"/>
    <n v="24000"/>
  </r>
  <r>
    <d v="2026-01-19T00:00:00"/>
    <x v="1"/>
    <s v="Water Bill"/>
    <n v="3200"/>
  </r>
  <r>
    <d v="2026-01-21T00:00:00"/>
    <x v="5"/>
    <s v="Social Media Promotion"/>
    <n v="3500"/>
  </r>
  <r>
    <d v="2026-01-23T00:00:00"/>
    <x v="2"/>
    <s v="Supplier Delivery"/>
    <n v="7400"/>
  </r>
  <r>
    <d v="2026-01-25T00:00:00"/>
    <x v="3"/>
    <s v="Snacks Stock Restock"/>
    <n v="18000"/>
  </r>
  <r>
    <d v="2026-01-27T00:00:00"/>
    <x v="6"/>
    <s v="Shelf Repair"/>
    <n v="4100"/>
  </r>
  <r>
    <d v="2026-01-29T00:00:00"/>
    <x v="1"/>
    <s v="Internet Bill"/>
    <n v="2800"/>
  </r>
  <r>
    <d v="2026-01-31T00:00:00"/>
    <x v="4"/>
    <s v="Staff Overtime Payment"/>
    <n v="8500"/>
  </r>
  <r>
    <d v="2026-02-01T00:00:00"/>
    <x v="0"/>
    <s v="Monthly Shop Rent"/>
    <n v="45000"/>
  </r>
  <r>
    <d v="2026-02-03T00:00:00"/>
    <x v="1"/>
    <s v="Electricity Bill"/>
    <n v="8900"/>
  </r>
  <r>
    <d v="2026-02-05T00:00:00"/>
    <x v="2"/>
    <s v="Supplier Delivery"/>
    <n v="7800"/>
  </r>
  <r>
    <d v="2026-02-07T00:00:00"/>
    <x v="3"/>
    <s v="Household Stock Restock"/>
    <n v="26000"/>
  </r>
  <r>
    <d v="2026-02-09T00:00:00"/>
    <x v="4"/>
    <s v="Staff Salaries"/>
    <n v="65000"/>
  </r>
  <r>
    <d v="2026-02-11T00:00:00"/>
    <x v="5"/>
    <s v="Poster Campaign"/>
    <n v="5000"/>
  </r>
  <r>
    <d v="2026-02-13T00:00:00"/>
    <x v="6"/>
    <s v="POS Machine Repair"/>
    <n v="5800"/>
  </r>
  <r>
    <d v="2026-02-15T00:00:00"/>
    <x v="2"/>
    <s v="Supplier Delivery"/>
    <n v="8200"/>
  </r>
  <r>
    <d v="2026-02-17T00:00:00"/>
    <x v="3"/>
    <s v="Produce Stock Restock"/>
    <n v="19500"/>
  </r>
  <r>
    <d v="2026-02-19T00:00:00"/>
    <x v="1"/>
    <s v="Water Bill"/>
    <n v="3400"/>
  </r>
  <r>
    <d v="2026-02-21T00:00:00"/>
    <x v="5"/>
    <s v="Customer Discount Campaign"/>
    <n v="6200"/>
  </r>
  <r>
    <d v="2026-02-23T00:00:00"/>
    <x v="2"/>
    <s v="Supplier Delivery"/>
    <n v="7900"/>
  </r>
  <r>
    <d v="2026-02-25T00:00:00"/>
    <x v="3"/>
    <s v="Personal Care Stock Restock"/>
    <n v="22500"/>
  </r>
  <r>
    <d v="2026-02-27T00:00:00"/>
    <x v="6"/>
    <s v="Lighting Repair"/>
    <n v="4600"/>
  </r>
  <r>
    <d v="2026-03-01T00:00:00"/>
    <x v="0"/>
    <s v="Monthly Shop Rent"/>
    <n v="45000"/>
  </r>
  <r>
    <d v="2026-03-03T00:00:00"/>
    <x v="1"/>
    <s v="Electricity Bill"/>
    <n v="9400"/>
  </r>
  <r>
    <d v="2026-03-05T00:00:00"/>
    <x v="2"/>
    <s v="Supplier Delivery"/>
    <n v="9100"/>
  </r>
  <r>
    <d v="2026-03-07T00:00:00"/>
    <x v="3"/>
    <s v="Beverage Stock Restock"/>
    <n v="31000"/>
  </r>
  <r>
    <d v="2026-03-09T00:00:00"/>
    <x v="4"/>
    <s v="Staff Salaries"/>
    <n v="65000"/>
  </r>
  <r>
    <d v="2026-03-11T00:00:00"/>
    <x v="5"/>
    <s v="Radio Advertisement"/>
    <n v="8500"/>
  </r>
  <r>
    <d v="2026-03-13T00:00:00"/>
    <x v="6"/>
    <s v="Freezer Repair"/>
    <n v="9800"/>
  </r>
  <r>
    <d v="2026-03-15T00:00:00"/>
    <x v="2"/>
    <s v="Supplier Delivery"/>
    <n v="9600"/>
  </r>
  <r>
    <d v="2026-03-17T00:00:00"/>
    <x v="3"/>
    <s v="Dairy Stock Restock"/>
    <n v="27500"/>
  </r>
  <r>
    <d v="2026-03-19T00:00:00"/>
    <x v="1"/>
    <s v="Water Bill"/>
    <n v="3600"/>
  </r>
  <r>
    <d v="2026-03-21T00:00:00"/>
    <x v="5"/>
    <s v="Weekend Promotion Campaign"/>
    <n v="7200"/>
  </r>
  <r>
    <d v="2026-03-23T00:00:00"/>
    <x v="2"/>
    <s v="Supplier Delivery"/>
    <n v="10200"/>
  </r>
  <r>
    <d v="2026-03-25T00:00:00"/>
    <x v="3"/>
    <s v="Snacks Stock Restock"/>
    <n v="21000"/>
  </r>
  <r>
    <d v="2026-03-27T00:00:00"/>
    <x v="6"/>
    <s v="Door Lock Replacement"/>
    <n v="3900"/>
  </r>
  <r>
    <d v="2026-03-29T00:00:00"/>
    <x v="1"/>
    <s v="Internet Bill"/>
    <n v="3200"/>
  </r>
  <r>
    <d v="2026-03-31T00:00:00"/>
    <x v="4"/>
    <s v="Staff Overtime Payment"/>
    <n v="11000"/>
  </r>
  <r>
    <d v="2026-04-01T00:00:00"/>
    <x v="0"/>
    <s v="Monthly Shop Rent"/>
    <n v="45000"/>
  </r>
  <r>
    <d v="2026-04-05T00:00:00"/>
    <x v="2"/>
    <s v="Supplier Delivery"/>
    <n v="10800"/>
  </r>
  <r>
    <d v="2026-04-10T00:00:00"/>
    <x v="5"/>
    <s v="Easter Promotion Campaign"/>
    <n v="9200"/>
  </r>
  <r>
    <d v="2026-04-15T00:00:00"/>
    <x v="3"/>
    <s v="Holiday Stock Restock"/>
    <n v="34000"/>
  </r>
  <r>
    <d v="2026-04-20T00:00:00"/>
    <x v="6"/>
    <s v="Generator Repair"/>
    <n v="12500"/>
  </r>
  <r>
    <d v="2026-04-25T00:00:00"/>
    <x v="1"/>
    <s v="Electricity Bill"/>
    <n v="10100"/>
  </r>
  <r>
    <d v="2026-04-30T00:00:00"/>
    <x v="4"/>
    <s v="Staff Salaries"/>
    <n v="67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x v="0"/>
    <n v="200"/>
    <n v="5"/>
    <n v="1000"/>
    <s v="M-Pesa"/>
  </r>
  <r>
    <x v="1"/>
    <x v="1"/>
    <n v="1000"/>
    <n v="80"/>
    <n v="80000"/>
    <s v="Card"/>
  </r>
  <r>
    <x v="2"/>
    <x v="2"/>
    <n v="500"/>
    <n v="80"/>
    <n v="40000"/>
    <s v="M-Pesa"/>
  </r>
  <r>
    <x v="3"/>
    <x v="3"/>
    <n v="500"/>
    <n v="70"/>
    <n v="35000"/>
    <s v="M-Pesa"/>
  </r>
  <r>
    <x v="1"/>
    <x v="4"/>
    <n v="50"/>
    <n v="120"/>
    <n v="6000"/>
    <s v="Card"/>
  </r>
  <r>
    <x v="2"/>
    <x v="5"/>
    <n v="800"/>
    <n v="50"/>
    <n v="40000"/>
    <s v="Cash"/>
  </r>
  <r>
    <x v="0"/>
    <x v="6"/>
    <n v="165"/>
    <n v="50"/>
    <n v="8250"/>
    <s v="M-Pesa"/>
  </r>
  <r>
    <x v="3"/>
    <x v="7"/>
    <n v="250"/>
    <n v="60"/>
    <n v="15000"/>
    <s v="M-Pesa"/>
  </r>
  <r>
    <x v="2"/>
    <x v="8"/>
    <n v="90"/>
    <n v="150"/>
    <n v="13500"/>
    <s v="Card"/>
  </r>
  <r>
    <x v="2"/>
    <x v="2"/>
    <n v="120"/>
    <n v="80"/>
    <n v="9600"/>
    <s v="Cash"/>
  </r>
  <r>
    <x v="3"/>
    <x v="7"/>
    <n v="100"/>
    <n v="60"/>
    <n v="6000"/>
    <s v="M-Pesa"/>
  </r>
  <r>
    <x v="3"/>
    <x v="3"/>
    <n v="170"/>
    <n v="70"/>
    <n v="11900"/>
    <s v="Cash"/>
  </r>
  <r>
    <x v="4"/>
    <x v="9"/>
    <n v="70"/>
    <n v="40"/>
    <n v="2800"/>
    <s v="Card"/>
  </r>
  <r>
    <x v="4"/>
    <x v="10"/>
    <n v="150"/>
    <n v="120"/>
    <n v="18000"/>
    <s v="M-Pesa"/>
  </r>
  <r>
    <x v="0"/>
    <x v="0"/>
    <n v="260"/>
    <n v="30"/>
    <n v="7800"/>
    <s v="Cash"/>
  </r>
  <r>
    <x v="0"/>
    <x v="6"/>
    <n v="290"/>
    <n v="50"/>
    <n v="14500"/>
    <s v="Card"/>
  </r>
  <r>
    <x v="5"/>
    <x v="11"/>
    <n v="320"/>
    <n v="20"/>
    <n v="6400"/>
    <s v="M-Pesa"/>
  </r>
  <r>
    <x v="5"/>
    <x v="12"/>
    <n v="95"/>
    <n v="30"/>
    <n v="2850"/>
    <s v="Cash"/>
  </r>
  <r>
    <x v="1"/>
    <x v="4"/>
    <n v="50"/>
    <n v="120"/>
    <n v="6000"/>
    <s v="Card"/>
  </r>
  <r>
    <x v="1"/>
    <x v="13"/>
    <n v="100"/>
    <n v="200"/>
    <n v="20000"/>
    <s v="M-Pesa"/>
  </r>
  <r>
    <x v="2"/>
    <x v="2"/>
    <n v="440"/>
    <n v="80"/>
    <n v="35200"/>
    <s v="Cash"/>
  </r>
  <r>
    <x v="2"/>
    <x v="5"/>
    <n v="700"/>
    <n v="50"/>
    <n v="35000"/>
    <s v="Card"/>
  </r>
  <r>
    <x v="2"/>
    <x v="8"/>
    <n v="1000"/>
    <n v="150"/>
    <n v="150000"/>
    <s v="M-Pesa"/>
  </r>
  <r>
    <x v="3"/>
    <x v="7"/>
    <n v="1300"/>
    <n v="60"/>
    <n v="78000"/>
    <s v="Cash"/>
  </r>
  <r>
    <x v="3"/>
    <x v="3"/>
    <n v="600"/>
    <n v="70"/>
    <n v="42000"/>
    <s v="Card"/>
  </r>
  <r>
    <x v="4"/>
    <x v="9"/>
    <n v="800"/>
    <n v="40"/>
    <n v="32000"/>
    <s v="M-Pesa"/>
  </r>
  <r>
    <x v="4"/>
    <x v="10"/>
    <n v="220"/>
    <n v="120"/>
    <n v="26400"/>
    <s v="Cash"/>
  </r>
  <r>
    <x v="0"/>
    <x v="0"/>
    <n v="2500"/>
    <n v="30"/>
    <n v="75000"/>
    <s v="Card"/>
  </r>
  <r>
    <x v="0"/>
    <x v="6"/>
    <n v="280"/>
    <n v="50"/>
    <n v="14000"/>
    <s v="M-Pesa"/>
  </r>
  <r>
    <x v="5"/>
    <x v="11"/>
    <n v="310"/>
    <n v="20"/>
    <n v="6200"/>
    <s v="Cash"/>
  </r>
  <r>
    <x v="5"/>
    <x v="12"/>
    <n v="304"/>
    <n v="30"/>
    <n v="9120"/>
    <s v="Card"/>
  </r>
  <r>
    <x v="1"/>
    <x v="4"/>
    <n v="370"/>
    <n v="120"/>
    <n v="44400"/>
    <s v="M-Pesa"/>
  </r>
  <r>
    <x v="1"/>
    <x v="13"/>
    <n v="400"/>
    <n v="200"/>
    <n v="80000"/>
    <s v="Cash"/>
  </r>
  <r>
    <x v="2"/>
    <x v="2"/>
    <n v="430"/>
    <n v="80"/>
    <n v="34400"/>
    <s v="Card"/>
  </r>
  <r>
    <x v="2"/>
    <x v="5"/>
    <n v="600"/>
    <n v="50"/>
    <n v="30000"/>
    <s v="M-Pesa"/>
  </r>
  <r>
    <x v="2"/>
    <x v="8"/>
    <n v="90"/>
    <n v="150"/>
    <n v="13500"/>
    <s v="Cash"/>
  </r>
  <r>
    <x v="3"/>
    <x v="7"/>
    <n v="120"/>
    <n v="60"/>
    <n v="7200"/>
    <s v="Card"/>
  </r>
  <r>
    <x v="3"/>
    <x v="3"/>
    <n v="150"/>
    <n v="70"/>
    <n v="10500"/>
    <s v="M-Pesa"/>
  </r>
  <r>
    <x v="4"/>
    <x v="9"/>
    <n v="180"/>
    <n v="40"/>
    <n v="7200"/>
    <s v="Cash"/>
  </r>
  <r>
    <x v="4"/>
    <x v="10"/>
    <n v="21"/>
    <n v="120"/>
    <n v="2520"/>
    <s v="Card"/>
  </r>
  <r>
    <x v="0"/>
    <x v="0"/>
    <n v="24"/>
    <n v="30"/>
    <n v="720"/>
    <s v="M-Pesa"/>
  </r>
  <r>
    <x v="0"/>
    <x v="6"/>
    <n v="27"/>
    <n v="50"/>
    <n v="1350"/>
    <s v="Cash"/>
  </r>
  <r>
    <x v="5"/>
    <x v="11"/>
    <n v="30"/>
    <n v="20"/>
    <n v="600"/>
    <s v="Card"/>
  </r>
  <r>
    <x v="5"/>
    <x v="12"/>
    <n v="33"/>
    <n v="30"/>
    <n v="990"/>
    <s v="M-Pesa"/>
  </r>
  <r>
    <x v="1"/>
    <x v="4"/>
    <n v="36"/>
    <n v="120"/>
    <n v="4320"/>
    <s v="Cash"/>
  </r>
  <r>
    <x v="1"/>
    <x v="13"/>
    <n v="39"/>
    <n v="200"/>
    <n v="7800"/>
    <s v="Card"/>
  </r>
  <r>
    <x v="2"/>
    <x v="2"/>
    <n v="42"/>
    <n v="80"/>
    <n v="3360"/>
    <s v="M-Pesa"/>
  </r>
  <r>
    <x v="2"/>
    <x v="5"/>
    <n v="50"/>
    <n v="50"/>
    <n v="2500"/>
    <s v="Cash"/>
  </r>
  <r>
    <x v="2"/>
    <x v="8"/>
    <n v="80"/>
    <n v="150"/>
    <n v="12000"/>
    <s v="Card"/>
  </r>
  <r>
    <x v="3"/>
    <x v="7"/>
    <n v="11"/>
    <n v="60"/>
    <n v="660"/>
    <s v="M-Pesa"/>
  </r>
  <r>
    <x v="3"/>
    <x v="3"/>
    <n v="14"/>
    <n v="70"/>
    <n v="980"/>
    <s v="Cash"/>
  </r>
  <r>
    <x v="4"/>
    <x v="9"/>
    <n v="17"/>
    <n v="40"/>
    <n v="680"/>
    <s v="Card"/>
  </r>
  <r>
    <x v="4"/>
    <x v="10"/>
    <n v="20"/>
    <n v="120"/>
    <n v="2400"/>
    <s v="M-Pesa"/>
  </r>
  <r>
    <x v="0"/>
    <x v="0"/>
    <n v="23"/>
    <n v="30"/>
    <n v="690"/>
    <s v="Cash"/>
  </r>
  <r>
    <x v="0"/>
    <x v="6"/>
    <n v="26"/>
    <n v="50"/>
    <n v="1300"/>
    <s v="Card"/>
  </r>
  <r>
    <x v="5"/>
    <x v="11"/>
    <n v="29"/>
    <n v="20"/>
    <n v="580"/>
    <s v="M-Pesa"/>
  </r>
  <r>
    <x v="5"/>
    <x v="12"/>
    <n v="32"/>
    <n v="30"/>
    <n v="960"/>
    <s v="Cash"/>
  </r>
  <r>
    <x v="1"/>
    <x v="4"/>
    <n v="35"/>
    <n v="120"/>
    <n v="4200"/>
    <s v="Card"/>
  </r>
  <r>
    <x v="1"/>
    <x v="13"/>
    <n v="38"/>
    <n v="200"/>
    <n v="7600"/>
    <s v="M-Pesa"/>
  </r>
  <r>
    <x v="2"/>
    <x v="2"/>
    <n v="41"/>
    <n v="80"/>
    <n v="3280"/>
    <s v="Cash"/>
  </r>
  <r>
    <x v="2"/>
    <x v="5"/>
    <n v="44"/>
    <n v="50"/>
    <n v="2200"/>
    <s v="Card"/>
  </r>
  <r>
    <x v="2"/>
    <x v="8"/>
    <n v="7"/>
    <n v="150"/>
    <n v="1050"/>
    <s v="M-Pesa"/>
  </r>
  <r>
    <x v="3"/>
    <x v="7"/>
    <n v="10"/>
    <n v="60"/>
    <n v="600"/>
    <s v="Cash"/>
  </r>
  <r>
    <x v="3"/>
    <x v="3"/>
    <n v="13"/>
    <n v="70"/>
    <n v="910"/>
    <s v="Card"/>
  </r>
  <r>
    <x v="4"/>
    <x v="9"/>
    <n v="160"/>
    <n v="40"/>
    <n v="6400"/>
    <s v="M-Pesa"/>
  </r>
  <r>
    <x v="4"/>
    <x v="10"/>
    <n v="19"/>
    <n v="120"/>
    <n v="2280"/>
    <s v="Cash"/>
  </r>
  <r>
    <x v="0"/>
    <x v="0"/>
    <n v="22"/>
    <n v="30"/>
    <n v="660"/>
    <s v="Card"/>
  </r>
  <r>
    <x v="0"/>
    <x v="6"/>
    <n v="25"/>
    <n v="50"/>
    <n v="1250"/>
    <s v="M-Pesa"/>
  </r>
  <r>
    <x v="5"/>
    <x v="11"/>
    <n v="28"/>
    <n v="20"/>
    <n v="560"/>
    <s v="Cash"/>
  </r>
  <r>
    <x v="5"/>
    <x v="12"/>
    <n v="31"/>
    <n v="30"/>
    <n v="930"/>
    <s v="Card"/>
  </r>
  <r>
    <x v="1"/>
    <x v="4"/>
    <n v="34"/>
    <n v="120"/>
    <n v="4080"/>
    <s v="M-Pesa"/>
  </r>
  <r>
    <x v="1"/>
    <x v="13"/>
    <n v="37"/>
    <n v="200"/>
    <n v="7400"/>
    <s v="Cash"/>
  </r>
  <r>
    <x v="2"/>
    <x v="2"/>
    <n v="40"/>
    <n v="80"/>
    <n v="3200"/>
    <s v="Card"/>
  </r>
  <r>
    <x v="2"/>
    <x v="5"/>
    <n v="430"/>
    <n v="50"/>
    <n v="21500"/>
    <s v="M-Pesa"/>
  </r>
  <r>
    <x v="2"/>
    <x v="8"/>
    <n v="6"/>
    <n v="150"/>
    <n v="900"/>
    <s v="Cash"/>
  </r>
  <r>
    <x v="3"/>
    <x v="7"/>
    <n v="9"/>
    <n v="60"/>
    <n v="540"/>
    <s v="Card"/>
  </r>
  <r>
    <x v="3"/>
    <x v="3"/>
    <n v="12"/>
    <n v="70"/>
    <n v="840"/>
    <s v="M-Pesa"/>
  </r>
  <r>
    <x v="4"/>
    <x v="9"/>
    <n v="15"/>
    <n v="40"/>
    <n v="600"/>
    <s v="Cash"/>
  </r>
  <r>
    <x v="4"/>
    <x v="10"/>
    <n v="18"/>
    <n v="120"/>
    <n v="2160"/>
    <s v="Card"/>
  </r>
  <r>
    <x v="0"/>
    <x v="0"/>
    <n v="21"/>
    <n v="30"/>
    <n v="630"/>
    <s v="M-Pesa"/>
  </r>
  <r>
    <x v="0"/>
    <x v="6"/>
    <n v="24"/>
    <n v="50"/>
    <n v="1200"/>
    <s v="Cash"/>
  </r>
  <r>
    <x v="5"/>
    <x v="11"/>
    <n v="27"/>
    <n v="20"/>
    <n v="540"/>
    <s v="Card"/>
  </r>
  <r>
    <x v="5"/>
    <x v="12"/>
    <n v="30"/>
    <n v="30"/>
    <n v="900"/>
    <s v="M-Pesa"/>
  </r>
  <r>
    <x v="1"/>
    <x v="4"/>
    <n v="33"/>
    <n v="120"/>
    <n v="3960"/>
    <s v="Cash"/>
  </r>
  <r>
    <x v="1"/>
    <x v="13"/>
    <n v="36"/>
    <n v="200"/>
    <n v="7200"/>
    <s v="Card"/>
  </r>
  <r>
    <x v="2"/>
    <x v="2"/>
    <n v="39"/>
    <n v="80"/>
    <n v="3120"/>
    <s v="M-Pesa"/>
  </r>
  <r>
    <x v="2"/>
    <x v="5"/>
    <n v="42"/>
    <n v="50"/>
    <n v="2100"/>
    <s v="Cash"/>
  </r>
  <r>
    <x v="2"/>
    <x v="8"/>
    <n v="5"/>
    <n v="150"/>
    <n v="750"/>
    <s v="Card"/>
  </r>
  <r>
    <x v="3"/>
    <x v="7"/>
    <n v="8"/>
    <n v="60"/>
    <n v="480"/>
    <s v="M-Pesa"/>
  </r>
  <r>
    <x v="3"/>
    <x v="3"/>
    <n v="11"/>
    <n v="70"/>
    <n v="770"/>
    <s v="Cash"/>
  </r>
  <r>
    <x v="4"/>
    <x v="9"/>
    <n v="14"/>
    <n v="40"/>
    <n v="560"/>
    <s v="Card"/>
  </r>
  <r>
    <x v="4"/>
    <x v="10"/>
    <n v="17"/>
    <n v="120"/>
    <n v="2040"/>
    <s v="M-Pesa"/>
  </r>
  <r>
    <x v="0"/>
    <x v="0"/>
    <n v="20"/>
    <n v="30"/>
    <n v="600"/>
    <s v="Cash"/>
  </r>
  <r>
    <x v="0"/>
    <x v="6"/>
    <n v="23"/>
    <n v="50"/>
    <n v="1150"/>
    <s v="Card"/>
  </r>
  <r>
    <x v="5"/>
    <x v="11"/>
    <n v="26"/>
    <n v="20"/>
    <n v="520"/>
    <s v="M-Pesa"/>
  </r>
  <r>
    <x v="5"/>
    <x v="12"/>
    <n v="29"/>
    <n v="30"/>
    <n v="870"/>
    <s v="Cash"/>
  </r>
  <r>
    <x v="1"/>
    <x v="4"/>
    <n v="32"/>
    <n v="120"/>
    <n v="3840"/>
    <s v="Card"/>
  </r>
  <r>
    <x v="1"/>
    <x v="13"/>
    <n v="35"/>
    <n v="200"/>
    <n v="7000"/>
    <s v="M-Pesa"/>
  </r>
  <r>
    <x v="2"/>
    <x v="2"/>
    <n v="38"/>
    <n v="80"/>
    <n v="3040"/>
    <s v="Cash"/>
  </r>
  <r>
    <x v="2"/>
    <x v="5"/>
    <n v="41"/>
    <n v="50"/>
    <n v="2050"/>
    <s v="Card"/>
  </r>
  <r>
    <x v="2"/>
    <x v="8"/>
    <n v="44"/>
    <n v="150"/>
    <n v="6600"/>
    <s v="M-Pesa"/>
  </r>
  <r>
    <x v="3"/>
    <x v="7"/>
    <n v="7"/>
    <n v="60"/>
    <n v="420"/>
    <s v="Cash"/>
  </r>
  <r>
    <x v="3"/>
    <x v="3"/>
    <n v="10"/>
    <n v="70"/>
    <n v="700"/>
    <s v="Card"/>
  </r>
  <r>
    <x v="4"/>
    <x v="9"/>
    <n v="13"/>
    <n v="40"/>
    <n v="520"/>
    <s v="M-Pesa"/>
  </r>
  <r>
    <x v="4"/>
    <x v="10"/>
    <n v="16"/>
    <n v="120"/>
    <n v="1920"/>
    <s v="Cash"/>
  </r>
  <r>
    <x v="0"/>
    <x v="0"/>
    <n v="19"/>
    <n v="30"/>
    <n v="570"/>
    <s v="Card"/>
  </r>
  <r>
    <x v="0"/>
    <x v="6"/>
    <n v="22"/>
    <n v="50"/>
    <n v="1100"/>
    <s v="M-Pesa"/>
  </r>
  <r>
    <x v="5"/>
    <x v="11"/>
    <n v="25"/>
    <n v="20"/>
    <n v="500"/>
    <s v="Cash"/>
  </r>
  <r>
    <x v="5"/>
    <x v="12"/>
    <n v="28"/>
    <n v="30"/>
    <n v="840"/>
    <s v="Card"/>
  </r>
  <r>
    <x v="1"/>
    <x v="4"/>
    <n v="31"/>
    <n v="120"/>
    <n v="3720"/>
    <s v="M-Pesa"/>
  </r>
  <r>
    <x v="1"/>
    <x v="13"/>
    <n v="34"/>
    <n v="200"/>
    <n v="6800"/>
    <s v="Cash"/>
  </r>
  <r>
    <x v="2"/>
    <x v="2"/>
    <n v="37"/>
    <n v="80"/>
    <n v="2960"/>
    <s v="Card"/>
  </r>
  <r>
    <x v="2"/>
    <x v="5"/>
    <n v="40"/>
    <n v="50"/>
    <n v="2000"/>
    <s v="M-Pesa"/>
  </r>
  <r>
    <x v="2"/>
    <x v="8"/>
    <n v="43"/>
    <n v="150"/>
    <n v="6450"/>
    <s v="Cash"/>
  </r>
  <r>
    <x v="3"/>
    <x v="7"/>
    <n v="6"/>
    <n v="60"/>
    <n v="360"/>
    <s v="Card"/>
  </r>
  <r>
    <x v="3"/>
    <x v="3"/>
    <n v="9"/>
    <n v="70"/>
    <n v="630"/>
    <s v="M-Pesa"/>
  </r>
  <r>
    <x v="4"/>
    <x v="9"/>
    <n v="12"/>
    <n v="40"/>
    <n v="480"/>
    <s v="Cash"/>
  </r>
  <r>
    <x v="4"/>
    <x v="10"/>
    <n v="15"/>
    <n v="120"/>
    <n v="1800"/>
    <s v="Card"/>
  </r>
  <r>
    <x v="0"/>
    <x v="0"/>
    <n v="18"/>
    <n v="30"/>
    <n v="540"/>
    <s v="M-Pesa"/>
  </r>
  <r>
    <x v="0"/>
    <x v="6"/>
    <n v="21"/>
    <n v="50"/>
    <n v="1050"/>
    <s v="Cash"/>
  </r>
  <r>
    <x v="5"/>
    <x v="11"/>
    <n v="24"/>
    <n v="20"/>
    <n v="480"/>
    <s v="Card"/>
  </r>
  <r>
    <x v="5"/>
    <x v="12"/>
    <n v="27"/>
    <n v="30"/>
    <n v="810"/>
    <s v="M-Pesa"/>
  </r>
  <r>
    <x v="1"/>
    <x v="4"/>
    <n v="30"/>
    <n v="120"/>
    <n v="3600"/>
    <s v="Cash"/>
  </r>
  <r>
    <x v="1"/>
    <x v="13"/>
    <n v="33"/>
    <n v="200"/>
    <n v="6600"/>
    <s v="Card"/>
  </r>
  <r>
    <x v="2"/>
    <x v="2"/>
    <n v="36"/>
    <n v="80"/>
    <n v="2880"/>
    <s v="M-Pesa"/>
  </r>
  <r>
    <x v="2"/>
    <x v="5"/>
    <n v="39"/>
    <n v="50"/>
    <n v="1950"/>
    <s v="Cash"/>
  </r>
  <r>
    <x v="2"/>
    <x v="8"/>
    <n v="42"/>
    <n v="150"/>
    <n v="6300"/>
    <s v="Car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d v="2026-01-01T00:00:00"/>
    <x v="0"/>
    <s v="Biscuits"/>
    <n v="200"/>
    <n v="5"/>
    <n v="1000"/>
    <s v="M-Pesa"/>
  </r>
  <r>
    <d v="2026-01-01T00:00:00"/>
    <x v="1"/>
    <s v="Petroleum Jelly"/>
    <n v="1000"/>
    <n v="80"/>
    <n v="80000"/>
    <s v="Card"/>
  </r>
  <r>
    <d v="2026-01-01T00:00:00"/>
    <x v="2"/>
    <s v="Soda 500ml"/>
    <n v="500"/>
    <n v="80"/>
    <n v="40000"/>
    <s v="M-Pesa"/>
  </r>
  <r>
    <d v="2026-01-02T00:00:00"/>
    <x v="3"/>
    <s v="Yogurt 250g"/>
    <n v="500"/>
    <n v="70"/>
    <n v="35000"/>
    <s v="M-Pesa"/>
  </r>
  <r>
    <d v="2026-01-02T00:00:00"/>
    <x v="1"/>
    <s v="Toothpaste"/>
    <n v="50"/>
    <n v="120"/>
    <n v="6000"/>
    <s v="Card"/>
  </r>
  <r>
    <d v="2026-01-02T00:00:00"/>
    <x v="2"/>
    <s v="Water 1L"/>
    <n v="800"/>
    <n v="50"/>
    <n v="40000"/>
    <s v="Cash"/>
  </r>
  <r>
    <d v="2026-01-03T00:00:00"/>
    <x v="0"/>
    <s v="Crisps"/>
    <n v="165"/>
    <n v="50"/>
    <n v="8250"/>
    <s v="M-Pesa"/>
  </r>
  <r>
    <d v="2026-01-03T00:00:00"/>
    <x v="3"/>
    <s v="Milk 500ml"/>
    <n v="250"/>
    <n v="60"/>
    <n v="15000"/>
    <s v="M-Pesa"/>
  </r>
  <r>
    <d v="2026-01-03T00:00:00"/>
    <x v="2"/>
    <s v="Juice 1L"/>
    <n v="90"/>
    <n v="150"/>
    <n v="13500"/>
    <s v="Card"/>
  </r>
  <r>
    <d v="2026-01-04T00:00:00"/>
    <x v="2"/>
    <s v="Soda 500ml"/>
    <n v="120"/>
    <n v="80"/>
    <n v="9600"/>
    <s v="Cash"/>
  </r>
  <r>
    <d v="2026-01-04T00:00:00"/>
    <x v="3"/>
    <s v="Milk 500ml"/>
    <n v="100"/>
    <n v="60"/>
    <n v="6000"/>
    <s v="M-Pesa"/>
  </r>
  <r>
    <d v="2026-01-05T00:00:00"/>
    <x v="3"/>
    <s v="Yogurt 250g"/>
    <n v="170"/>
    <n v="70"/>
    <n v="11900"/>
    <s v="Cash"/>
  </r>
  <r>
    <d v="2026-01-06T00:00:00"/>
    <x v="4"/>
    <s v="Soap Bar"/>
    <n v="70"/>
    <n v="40"/>
    <n v="2800"/>
    <s v="Card"/>
  </r>
  <r>
    <d v="2026-01-07T00:00:00"/>
    <x v="4"/>
    <s v="Detergent"/>
    <n v="150"/>
    <n v="120"/>
    <n v="18000"/>
    <s v="M-Pesa"/>
  </r>
  <r>
    <d v="2026-01-08T00:00:00"/>
    <x v="0"/>
    <s v="Biscuits"/>
    <n v="260"/>
    <n v="30"/>
    <n v="7800"/>
    <s v="Cash"/>
  </r>
  <r>
    <d v="2026-01-09T00:00:00"/>
    <x v="0"/>
    <s v="Crisps"/>
    <n v="290"/>
    <n v="50"/>
    <n v="14500"/>
    <s v="Card"/>
  </r>
  <r>
    <d v="2026-01-10T00:00:00"/>
    <x v="5"/>
    <s v="Bananas"/>
    <n v="320"/>
    <n v="20"/>
    <n v="6400"/>
    <s v="M-Pesa"/>
  </r>
  <r>
    <d v="2026-01-11T00:00:00"/>
    <x v="5"/>
    <s v="Tomatoes"/>
    <n v="95"/>
    <n v="30"/>
    <n v="2850"/>
    <s v="Cash"/>
  </r>
  <r>
    <d v="2026-01-12T00:00:00"/>
    <x v="1"/>
    <s v="Toothpaste"/>
    <n v="50"/>
    <n v="120"/>
    <n v="6000"/>
    <s v="Card"/>
  </r>
  <r>
    <d v="2026-01-13T00:00:00"/>
    <x v="1"/>
    <s v="Body Wash"/>
    <n v="100"/>
    <n v="200"/>
    <n v="20000"/>
    <s v="M-Pesa"/>
  </r>
  <r>
    <d v="2026-01-14T00:00:00"/>
    <x v="2"/>
    <s v="Soda 500ml"/>
    <n v="440"/>
    <n v="80"/>
    <n v="35200"/>
    <s v="Cash"/>
  </r>
  <r>
    <d v="2026-01-15T00:00:00"/>
    <x v="2"/>
    <s v="Water 1L"/>
    <n v="700"/>
    <n v="50"/>
    <n v="35000"/>
    <s v="Card"/>
  </r>
  <r>
    <d v="2026-01-16T00:00:00"/>
    <x v="2"/>
    <s v="Juice 1L"/>
    <n v="1000"/>
    <n v="150"/>
    <n v="150000"/>
    <s v="M-Pesa"/>
  </r>
  <r>
    <d v="2026-01-17T00:00:00"/>
    <x v="3"/>
    <s v="Milk 500ml"/>
    <n v="1300"/>
    <n v="60"/>
    <n v="78000"/>
    <s v="Cash"/>
  </r>
  <r>
    <d v="2026-01-18T00:00:00"/>
    <x v="3"/>
    <s v="Yogurt 250g"/>
    <n v="600"/>
    <n v="70"/>
    <n v="42000"/>
    <s v="Card"/>
  </r>
  <r>
    <d v="2026-01-19T00:00:00"/>
    <x v="4"/>
    <s v="Soap Bar"/>
    <n v="800"/>
    <n v="40"/>
    <n v="32000"/>
    <s v="M-Pesa"/>
  </r>
  <r>
    <d v="2026-01-20T00:00:00"/>
    <x v="4"/>
    <s v="Detergent"/>
    <n v="220"/>
    <n v="120"/>
    <n v="26400"/>
    <s v="Cash"/>
  </r>
  <r>
    <d v="2026-01-21T00:00:00"/>
    <x v="0"/>
    <s v="Biscuits"/>
    <n v="2500"/>
    <n v="30"/>
    <n v="75000"/>
    <s v="Card"/>
  </r>
  <r>
    <d v="2026-01-22T00:00:00"/>
    <x v="0"/>
    <s v="Crisps"/>
    <n v="280"/>
    <n v="50"/>
    <n v="14000"/>
    <s v="M-Pesa"/>
  </r>
  <r>
    <d v="2026-01-23T00:00:00"/>
    <x v="5"/>
    <s v="Bananas"/>
    <n v="310"/>
    <n v="20"/>
    <n v="6200"/>
    <s v="Cash"/>
  </r>
  <r>
    <d v="2026-01-24T00:00:00"/>
    <x v="5"/>
    <s v="Tomatoes"/>
    <n v="304"/>
    <n v="30"/>
    <n v="9120"/>
    <s v="Card"/>
  </r>
  <r>
    <d v="2026-01-25T00:00:00"/>
    <x v="1"/>
    <s v="Toothpaste"/>
    <n v="370"/>
    <n v="120"/>
    <n v="44400"/>
    <s v="M-Pesa"/>
  </r>
  <r>
    <d v="2026-01-26T00:00:00"/>
    <x v="1"/>
    <s v="Body Wash"/>
    <n v="400"/>
    <n v="200"/>
    <n v="80000"/>
    <s v="Cash"/>
  </r>
  <r>
    <d v="2026-01-27T00:00:00"/>
    <x v="2"/>
    <s v="Soda 500ml"/>
    <n v="430"/>
    <n v="80"/>
    <n v="34400"/>
    <s v="Card"/>
  </r>
  <r>
    <d v="2026-01-28T00:00:00"/>
    <x v="2"/>
    <s v="Water 1L"/>
    <n v="600"/>
    <n v="50"/>
    <n v="30000"/>
    <s v="M-Pesa"/>
  </r>
  <r>
    <d v="2026-01-29T00:00:00"/>
    <x v="2"/>
    <s v="Juice 1L"/>
    <n v="90"/>
    <n v="150"/>
    <n v="13500"/>
    <s v="Cash"/>
  </r>
  <r>
    <d v="2026-01-30T00:00:00"/>
    <x v="3"/>
    <s v="Milk 500ml"/>
    <n v="120"/>
    <n v="60"/>
    <n v="7200"/>
    <s v="Card"/>
  </r>
  <r>
    <d v="2026-01-31T00:00:00"/>
    <x v="3"/>
    <s v="Yogurt 250g"/>
    <n v="150"/>
    <n v="70"/>
    <n v="10500"/>
    <s v="M-Pesa"/>
  </r>
  <r>
    <d v="2026-02-01T00:00:00"/>
    <x v="4"/>
    <s v="Soap Bar"/>
    <n v="180"/>
    <n v="40"/>
    <n v="7200"/>
    <s v="Cash"/>
  </r>
  <r>
    <d v="2026-02-02T00:00:00"/>
    <x v="4"/>
    <s v="Detergent"/>
    <n v="21"/>
    <n v="120"/>
    <n v="2520"/>
    <s v="Card"/>
  </r>
  <r>
    <d v="2026-02-03T00:00:00"/>
    <x v="0"/>
    <s v="Biscuits"/>
    <n v="24"/>
    <n v="30"/>
    <n v="720"/>
    <s v="M-Pesa"/>
  </r>
  <r>
    <d v="2026-02-04T00:00:00"/>
    <x v="0"/>
    <s v="Crisps"/>
    <n v="27"/>
    <n v="50"/>
    <n v="1350"/>
    <s v="Cash"/>
  </r>
  <r>
    <d v="2026-02-05T00:00:00"/>
    <x v="5"/>
    <s v="Bananas"/>
    <n v="30"/>
    <n v="20"/>
    <n v="600"/>
    <s v="Card"/>
  </r>
  <r>
    <d v="2026-02-06T00:00:00"/>
    <x v="5"/>
    <s v="Tomatoes"/>
    <n v="33"/>
    <n v="30"/>
    <n v="990"/>
    <s v="M-Pesa"/>
  </r>
  <r>
    <d v="2026-02-07T00:00:00"/>
    <x v="1"/>
    <s v="Toothpaste"/>
    <n v="36"/>
    <n v="120"/>
    <n v="4320"/>
    <s v="Cash"/>
  </r>
  <r>
    <d v="2026-02-08T00:00:00"/>
    <x v="1"/>
    <s v="Body Wash"/>
    <n v="39"/>
    <n v="200"/>
    <n v="7800"/>
    <s v="Card"/>
  </r>
  <r>
    <d v="2026-02-09T00:00:00"/>
    <x v="2"/>
    <s v="Soda 500ml"/>
    <n v="42"/>
    <n v="80"/>
    <n v="3360"/>
    <s v="M-Pesa"/>
  </r>
  <r>
    <d v="2026-02-10T00:00:00"/>
    <x v="2"/>
    <s v="Water 1L"/>
    <n v="50"/>
    <n v="50"/>
    <n v="2500"/>
    <s v="Cash"/>
  </r>
  <r>
    <d v="2026-02-11T00:00:00"/>
    <x v="2"/>
    <s v="Juice 1L"/>
    <n v="80"/>
    <n v="150"/>
    <n v="12000"/>
    <s v="Card"/>
  </r>
  <r>
    <d v="2026-02-12T00:00:00"/>
    <x v="3"/>
    <s v="Milk 500ml"/>
    <n v="11"/>
    <n v="60"/>
    <n v="660"/>
    <s v="M-Pesa"/>
  </r>
  <r>
    <d v="2026-02-13T00:00:00"/>
    <x v="3"/>
    <s v="Yogurt 250g"/>
    <n v="14"/>
    <n v="70"/>
    <n v="980"/>
    <s v="Cash"/>
  </r>
  <r>
    <d v="2026-02-14T00:00:00"/>
    <x v="4"/>
    <s v="Soap Bar"/>
    <n v="17"/>
    <n v="40"/>
    <n v="680"/>
    <s v="Card"/>
  </r>
  <r>
    <d v="2026-02-15T00:00:00"/>
    <x v="4"/>
    <s v="Detergent"/>
    <n v="20"/>
    <n v="120"/>
    <n v="2400"/>
    <s v="M-Pesa"/>
  </r>
  <r>
    <d v="2026-02-16T00:00:00"/>
    <x v="0"/>
    <s v="Biscuits"/>
    <n v="23"/>
    <n v="30"/>
    <n v="690"/>
    <s v="Cash"/>
  </r>
  <r>
    <d v="2026-02-17T00:00:00"/>
    <x v="0"/>
    <s v="Crisps"/>
    <n v="26"/>
    <n v="50"/>
    <n v="1300"/>
    <s v="Card"/>
  </r>
  <r>
    <d v="2026-02-18T00:00:00"/>
    <x v="5"/>
    <s v="Bananas"/>
    <n v="29"/>
    <n v="20"/>
    <n v="580"/>
    <s v="M-Pesa"/>
  </r>
  <r>
    <d v="2026-02-19T00:00:00"/>
    <x v="5"/>
    <s v="Tomatoes"/>
    <n v="32"/>
    <n v="30"/>
    <n v="960"/>
    <s v="Cash"/>
  </r>
  <r>
    <d v="2026-02-20T00:00:00"/>
    <x v="1"/>
    <s v="Toothpaste"/>
    <n v="35"/>
    <n v="120"/>
    <n v="4200"/>
    <s v="Card"/>
  </r>
  <r>
    <d v="2026-02-21T00:00:00"/>
    <x v="1"/>
    <s v="Body Wash"/>
    <n v="38"/>
    <n v="200"/>
    <n v="7600"/>
    <s v="M-Pesa"/>
  </r>
  <r>
    <d v="2026-02-22T00:00:00"/>
    <x v="2"/>
    <s v="Soda 500ml"/>
    <n v="41"/>
    <n v="80"/>
    <n v="3280"/>
    <s v="Cash"/>
  </r>
  <r>
    <d v="2026-02-23T00:00:00"/>
    <x v="2"/>
    <s v="Water 1L"/>
    <n v="44"/>
    <n v="50"/>
    <n v="2200"/>
    <s v="Card"/>
  </r>
  <r>
    <d v="2026-02-24T00:00:00"/>
    <x v="2"/>
    <s v="Juice 1L"/>
    <n v="7"/>
    <n v="150"/>
    <n v="1050"/>
    <s v="M-Pesa"/>
  </r>
  <r>
    <d v="2026-02-25T00:00:00"/>
    <x v="3"/>
    <s v="Milk 500ml"/>
    <n v="10"/>
    <n v="60"/>
    <n v="600"/>
    <s v="Cash"/>
  </r>
  <r>
    <d v="2026-02-26T00:00:00"/>
    <x v="3"/>
    <s v="Yogurt 250g"/>
    <n v="13"/>
    <n v="70"/>
    <n v="910"/>
    <s v="Card"/>
  </r>
  <r>
    <d v="2026-02-27T00:00:00"/>
    <x v="4"/>
    <s v="Soap Bar"/>
    <n v="160"/>
    <n v="40"/>
    <n v="6400"/>
    <s v="M-Pesa"/>
  </r>
  <r>
    <d v="2026-02-28T00:00:00"/>
    <x v="4"/>
    <s v="Detergent"/>
    <n v="19"/>
    <n v="120"/>
    <n v="2280"/>
    <s v="Cash"/>
  </r>
  <r>
    <d v="2026-03-01T00:00:00"/>
    <x v="0"/>
    <s v="Biscuits"/>
    <n v="22"/>
    <n v="30"/>
    <n v="660"/>
    <s v="Card"/>
  </r>
  <r>
    <d v="2026-03-02T00:00:00"/>
    <x v="0"/>
    <s v="Crisps"/>
    <n v="25"/>
    <n v="50"/>
    <n v="1250"/>
    <s v="M-Pesa"/>
  </r>
  <r>
    <d v="2026-03-03T00:00:00"/>
    <x v="5"/>
    <s v="Bananas"/>
    <n v="28"/>
    <n v="20"/>
    <n v="560"/>
    <s v="Cash"/>
  </r>
  <r>
    <d v="2026-03-04T00:00:00"/>
    <x v="5"/>
    <s v="Tomatoes"/>
    <n v="31"/>
    <n v="30"/>
    <n v="930"/>
    <s v="Card"/>
  </r>
  <r>
    <d v="2026-03-05T00:00:00"/>
    <x v="1"/>
    <s v="Toothpaste"/>
    <n v="34"/>
    <n v="120"/>
    <n v="4080"/>
    <s v="M-Pesa"/>
  </r>
  <r>
    <d v="2026-03-06T00:00:00"/>
    <x v="1"/>
    <s v="Body Wash"/>
    <n v="37"/>
    <n v="200"/>
    <n v="7400"/>
    <s v="Cash"/>
  </r>
  <r>
    <d v="2026-03-07T00:00:00"/>
    <x v="2"/>
    <s v="Soda 500ml"/>
    <n v="40"/>
    <n v="80"/>
    <n v="3200"/>
    <s v="Card"/>
  </r>
  <r>
    <d v="2026-03-08T00:00:00"/>
    <x v="2"/>
    <s v="Water 1L"/>
    <n v="430"/>
    <n v="50"/>
    <n v="21500"/>
    <s v="M-Pesa"/>
  </r>
  <r>
    <d v="2026-03-09T00:00:00"/>
    <x v="2"/>
    <s v="Juice 1L"/>
    <n v="6"/>
    <n v="150"/>
    <n v="900"/>
    <s v="Cash"/>
  </r>
  <r>
    <d v="2026-03-10T00:00:00"/>
    <x v="3"/>
    <s v="Milk 500ml"/>
    <n v="9"/>
    <n v="60"/>
    <n v="540"/>
    <s v="Card"/>
  </r>
  <r>
    <d v="2026-03-11T00:00:00"/>
    <x v="3"/>
    <s v="Yogurt 250g"/>
    <n v="12"/>
    <n v="70"/>
    <n v="840"/>
    <s v="M-Pesa"/>
  </r>
  <r>
    <d v="2026-03-12T00:00:00"/>
    <x v="4"/>
    <s v="Soap Bar"/>
    <n v="15"/>
    <n v="40"/>
    <n v="600"/>
    <s v="Cash"/>
  </r>
  <r>
    <d v="2026-03-13T00:00:00"/>
    <x v="4"/>
    <s v="Detergent"/>
    <n v="18"/>
    <n v="120"/>
    <n v="2160"/>
    <s v="Card"/>
  </r>
  <r>
    <d v="2026-03-14T00:00:00"/>
    <x v="0"/>
    <s v="Biscuits"/>
    <n v="21"/>
    <n v="30"/>
    <n v="630"/>
    <s v="M-Pesa"/>
  </r>
  <r>
    <d v="2026-03-15T00:00:00"/>
    <x v="0"/>
    <s v="Crisps"/>
    <n v="24"/>
    <n v="50"/>
    <n v="1200"/>
    <s v="Cash"/>
  </r>
  <r>
    <d v="2026-03-16T00:00:00"/>
    <x v="5"/>
    <s v="Bananas"/>
    <n v="27"/>
    <n v="20"/>
    <n v="540"/>
    <s v="Card"/>
  </r>
  <r>
    <d v="2026-03-17T00:00:00"/>
    <x v="5"/>
    <s v="Tomatoes"/>
    <n v="30"/>
    <n v="30"/>
    <n v="900"/>
    <s v="M-Pesa"/>
  </r>
  <r>
    <d v="2026-03-18T00:00:00"/>
    <x v="1"/>
    <s v="Toothpaste"/>
    <n v="33"/>
    <n v="120"/>
    <n v="3960"/>
    <s v="Cash"/>
  </r>
  <r>
    <d v="2026-03-19T00:00:00"/>
    <x v="1"/>
    <s v="Body Wash"/>
    <n v="36"/>
    <n v="200"/>
    <n v="7200"/>
    <s v="Card"/>
  </r>
  <r>
    <d v="2026-03-20T00:00:00"/>
    <x v="2"/>
    <s v="Soda 500ml"/>
    <n v="39"/>
    <n v="80"/>
    <n v="3120"/>
    <s v="M-Pesa"/>
  </r>
  <r>
    <d v="2026-03-21T00:00:00"/>
    <x v="2"/>
    <s v="Water 1L"/>
    <n v="42"/>
    <n v="50"/>
    <n v="2100"/>
    <s v="Cash"/>
  </r>
  <r>
    <d v="2026-03-22T00:00:00"/>
    <x v="2"/>
    <s v="Juice 1L"/>
    <n v="5"/>
    <n v="150"/>
    <n v="750"/>
    <s v="Card"/>
  </r>
  <r>
    <d v="2026-03-23T00:00:00"/>
    <x v="3"/>
    <s v="Milk 500ml"/>
    <n v="8"/>
    <n v="60"/>
    <n v="480"/>
    <s v="M-Pesa"/>
  </r>
  <r>
    <d v="2026-03-24T00:00:00"/>
    <x v="3"/>
    <s v="Yogurt 250g"/>
    <n v="11"/>
    <n v="70"/>
    <n v="770"/>
    <s v="Cash"/>
  </r>
  <r>
    <d v="2026-03-25T00:00:00"/>
    <x v="4"/>
    <s v="Soap Bar"/>
    <n v="14"/>
    <n v="40"/>
    <n v="560"/>
    <s v="Card"/>
  </r>
  <r>
    <d v="2026-03-26T00:00:00"/>
    <x v="4"/>
    <s v="Detergent"/>
    <n v="17"/>
    <n v="120"/>
    <n v="2040"/>
    <s v="M-Pesa"/>
  </r>
  <r>
    <d v="2026-03-27T00:00:00"/>
    <x v="0"/>
    <s v="Biscuits"/>
    <n v="20"/>
    <n v="30"/>
    <n v="600"/>
    <s v="Cash"/>
  </r>
  <r>
    <d v="2026-03-28T00:00:00"/>
    <x v="0"/>
    <s v="Crisps"/>
    <n v="23"/>
    <n v="50"/>
    <n v="1150"/>
    <s v="Card"/>
  </r>
  <r>
    <d v="2026-03-29T00:00:00"/>
    <x v="5"/>
    <s v="Bananas"/>
    <n v="26"/>
    <n v="20"/>
    <n v="520"/>
    <s v="M-Pesa"/>
  </r>
  <r>
    <d v="2026-03-30T00:00:00"/>
    <x v="5"/>
    <s v="Tomatoes"/>
    <n v="29"/>
    <n v="30"/>
    <n v="870"/>
    <s v="Cash"/>
  </r>
  <r>
    <d v="2026-03-31T00:00:00"/>
    <x v="1"/>
    <s v="Toothpaste"/>
    <n v="32"/>
    <n v="120"/>
    <n v="3840"/>
    <s v="Card"/>
  </r>
  <r>
    <d v="2026-04-01T00:00:00"/>
    <x v="1"/>
    <s v="Body Wash"/>
    <n v="35"/>
    <n v="200"/>
    <n v="7000"/>
    <s v="M-Pesa"/>
  </r>
  <r>
    <d v="2026-04-02T00:00:00"/>
    <x v="2"/>
    <s v="Soda 500ml"/>
    <n v="38"/>
    <n v="80"/>
    <n v="3040"/>
    <s v="Cash"/>
  </r>
  <r>
    <d v="2026-04-03T00:00:00"/>
    <x v="2"/>
    <s v="Water 1L"/>
    <n v="41"/>
    <n v="50"/>
    <n v="2050"/>
    <s v="Card"/>
  </r>
  <r>
    <d v="2026-04-04T00:00:00"/>
    <x v="2"/>
    <s v="Juice 1L"/>
    <n v="44"/>
    <n v="150"/>
    <n v="6600"/>
    <s v="M-Pesa"/>
  </r>
  <r>
    <d v="2026-04-05T00:00:00"/>
    <x v="3"/>
    <s v="Milk 500ml"/>
    <n v="7"/>
    <n v="60"/>
    <n v="420"/>
    <s v="Cash"/>
  </r>
  <r>
    <d v="2026-04-06T00:00:00"/>
    <x v="3"/>
    <s v="Yogurt 250g"/>
    <n v="10"/>
    <n v="70"/>
    <n v="700"/>
    <s v="Card"/>
  </r>
  <r>
    <d v="2026-04-07T00:00:00"/>
    <x v="4"/>
    <s v="Soap Bar"/>
    <n v="13"/>
    <n v="40"/>
    <n v="520"/>
    <s v="M-Pesa"/>
  </r>
  <r>
    <d v="2026-04-08T00:00:00"/>
    <x v="4"/>
    <s v="Detergent"/>
    <n v="16"/>
    <n v="120"/>
    <n v="1920"/>
    <s v="Cash"/>
  </r>
  <r>
    <d v="2026-04-09T00:00:00"/>
    <x v="0"/>
    <s v="Biscuits"/>
    <n v="19"/>
    <n v="30"/>
    <n v="570"/>
    <s v="Card"/>
  </r>
  <r>
    <d v="2026-04-10T00:00:00"/>
    <x v="0"/>
    <s v="Crisps"/>
    <n v="22"/>
    <n v="50"/>
    <n v="1100"/>
    <s v="M-Pesa"/>
  </r>
  <r>
    <d v="2026-04-11T00:00:00"/>
    <x v="5"/>
    <s v="Bananas"/>
    <n v="25"/>
    <n v="20"/>
    <n v="500"/>
    <s v="Cash"/>
  </r>
  <r>
    <d v="2026-04-12T00:00:00"/>
    <x v="5"/>
    <s v="Tomatoes"/>
    <n v="28"/>
    <n v="30"/>
    <n v="840"/>
    <s v="Card"/>
  </r>
  <r>
    <d v="2026-04-13T00:00:00"/>
    <x v="1"/>
    <s v="Toothpaste"/>
    <n v="31"/>
    <n v="120"/>
    <n v="3720"/>
    <s v="M-Pesa"/>
  </r>
  <r>
    <d v="2026-04-14T00:00:00"/>
    <x v="1"/>
    <s v="Body Wash"/>
    <n v="34"/>
    <n v="200"/>
    <n v="6800"/>
    <s v="Cash"/>
  </r>
  <r>
    <d v="2026-04-15T00:00:00"/>
    <x v="2"/>
    <s v="Soda 500ml"/>
    <n v="37"/>
    <n v="80"/>
    <n v="2960"/>
    <s v="Card"/>
  </r>
  <r>
    <d v="2026-04-16T00:00:00"/>
    <x v="2"/>
    <s v="Water 1L"/>
    <n v="40"/>
    <n v="50"/>
    <n v="2000"/>
    <s v="M-Pesa"/>
  </r>
  <r>
    <d v="2026-04-17T00:00:00"/>
    <x v="2"/>
    <s v="Juice 1L"/>
    <n v="43"/>
    <n v="150"/>
    <n v="6450"/>
    <s v="Cash"/>
  </r>
  <r>
    <d v="2026-04-18T00:00:00"/>
    <x v="3"/>
    <s v="Milk 500ml"/>
    <n v="6"/>
    <n v="60"/>
    <n v="360"/>
    <s v="Card"/>
  </r>
  <r>
    <d v="2026-04-19T00:00:00"/>
    <x v="3"/>
    <s v="Yogurt 250g"/>
    <n v="9"/>
    <n v="70"/>
    <n v="630"/>
    <s v="M-Pesa"/>
  </r>
  <r>
    <d v="2026-04-20T00:00:00"/>
    <x v="4"/>
    <s v="Soap Bar"/>
    <n v="12"/>
    <n v="40"/>
    <n v="480"/>
    <s v="Cash"/>
  </r>
  <r>
    <d v="2026-04-21T00:00:00"/>
    <x v="4"/>
    <s v="Detergent"/>
    <n v="15"/>
    <n v="120"/>
    <n v="1800"/>
    <s v="Card"/>
  </r>
  <r>
    <d v="2026-04-22T00:00:00"/>
    <x v="0"/>
    <s v="Biscuits"/>
    <n v="18"/>
    <n v="30"/>
    <n v="540"/>
    <s v="M-Pesa"/>
  </r>
  <r>
    <d v="2026-04-23T00:00:00"/>
    <x v="0"/>
    <s v="Crisps"/>
    <n v="21"/>
    <n v="50"/>
    <n v="1050"/>
    <s v="Cash"/>
  </r>
  <r>
    <d v="2026-04-24T00:00:00"/>
    <x v="5"/>
    <s v="Bananas"/>
    <n v="24"/>
    <n v="20"/>
    <n v="480"/>
    <s v="Card"/>
  </r>
  <r>
    <d v="2026-04-25T00:00:00"/>
    <x v="5"/>
    <s v="Tomatoes"/>
    <n v="27"/>
    <n v="30"/>
    <n v="810"/>
    <s v="M-Pesa"/>
  </r>
  <r>
    <d v="2026-04-26T00:00:00"/>
    <x v="1"/>
    <s v="Toothpaste"/>
    <n v="30"/>
    <n v="120"/>
    <n v="3600"/>
    <s v="Cash"/>
  </r>
  <r>
    <d v="2026-04-27T00:00:00"/>
    <x v="1"/>
    <s v="Body Wash"/>
    <n v="33"/>
    <n v="200"/>
    <n v="6600"/>
    <s v="Card"/>
  </r>
  <r>
    <d v="2026-04-28T00:00:00"/>
    <x v="2"/>
    <s v="Soda 500ml"/>
    <n v="36"/>
    <n v="80"/>
    <n v="2880"/>
    <s v="M-Pesa"/>
  </r>
  <r>
    <d v="2026-04-29T00:00:00"/>
    <x v="2"/>
    <s v="Water 1L"/>
    <n v="39"/>
    <n v="50"/>
    <n v="1950"/>
    <s v="Cash"/>
  </r>
  <r>
    <d v="2026-04-30T00:00:00"/>
    <x v="2"/>
    <s v="Juice 1L"/>
    <n v="42"/>
    <n v="150"/>
    <n v="6300"/>
    <s v="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408FA-3780-4604-9BD4-4FC680D31DB6}" name="PivotTable6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I9:J24" firstHeaderRow="1" firstDataRow="1" firstDataCol="1"/>
  <pivotFields count="6">
    <pivotField showAll="0">
      <items count="7">
        <item x="2"/>
        <item x="3"/>
        <item x="4"/>
        <item x="1"/>
        <item x="5"/>
        <item x="0"/>
        <item t="default"/>
      </items>
    </pivotField>
    <pivotField axis="axisRow" showAll="0">
      <items count="15">
        <item x="11"/>
        <item x="0"/>
        <item x="13"/>
        <item x="6"/>
        <item x="10"/>
        <item x="8"/>
        <item x="7"/>
        <item x="1"/>
        <item x="9"/>
        <item x="2"/>
        <item x="12"/>
        <item x="4"/>
        <item x="5"/>
        <item x="3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Revenu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7A335-0D2C-4B87-9EF7-98C7797F68C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6:O8" firstHeaderRow="1" firstDataRow="2" firstDataCol="1"/>
  <pivotFields count="4">
    <pivotField numFmtId="15" showAll="0"/>
    <pivotField axis="axisCol" showAll="0">
      <items count="8">
        <item x="3"/>
        <item x="5"/>
        <item x="0"/>
        <item x="6"/>
        <item x="4"/>
        <item x="2"/>
        <item x="1"/>
        <item t="default"/>
      </items>
    </pivotField>
    <pivotField showAll="0"/>
    <pivotField dataField="1" showAll="0"/>
  </pivotFields>
  <rowItems count="1">
    <i/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Amount" fld="3" baseField="0" baseItem="0"/>
  </dataField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3AC9D-4008-4478-A83E-B1FC09F3A86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5:H53" firstHeaderRow="1" firstDataRow="1" firstDataCol="1"/>
  <pivotFields count="4">
    <pivotField numFmtId="15" showAll="0"/>
    <pivotField axis="axisRow" showAll="0">
      <items count="8">
        <item x="3"/>
        <item x="5"/>
        <item x="0"/>
        <item x="6"/>
        <item x="4"/>
        <item x="2"/>
        <item x="1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118CF-0E00-4E39-9801-D62DEBC688B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5:F12" firstHeaderRow="1" firstDataRow="1" firstDataCol="1"/>
  <pivotFields count="7">
    <pivotField numFmtId="15" showAll="0"/>
    <pivotField axis="axisRow" showAll="0">
      <items count="7">
        <item x="2"/>
        <item x="3"/>
        <item x="4"/>
        <item x="1"/>
        <item x="5"/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56E771-9F21-4A32-9F99-266691272C14}" name="Table2" displayName="Table2" ref="A1:G128" totalsRowShown="0" headerRowDxfId="7">
  <autoFilter ref="A1:G128" xr:uid="{F356E771-9F21-4A32-9F99-266691272C14}"/>
  <tableColumns count="7">
    <tableColumn id="1" xr3:uid="{72E2D8C4-1F5A-4D15-8A9D-DBDC94D6D3A5}" name="Date" dataDxfId="6"/>
    <tableColumn id="2" xr3:uid="{9E03B055-B359-47D9-A168-B00FEB983C40}" name="Product_Category"/>
    <tableColumn id="3" xr3:uid="{90791CEC-27B5-4506-8996-08A30D4EB153}" name="Product_Name"/>
    <tableColumn id="4" xr3:uid="{BF6AAC9F-5199-40D3-BF3C-896EE00A4058}" name="Units_Sold"/>
    <tableColumn id="5" xr3:uid="{96106EDA-8B18-4BC3-94DA-48051065FB46}" name="Unit_Price"/>
    <tableColumn id="6" xr3:uid="{B6A88715-CA41-49BF-92E0-7B7F53A41C07}" name="Revenue">
      <calculatedColumnFormula>D2*E2</calculatedColumnFormula>
    </tableColumn>
    <tableColumn id="7" xr3:uid="{E1179556-47CE-4699-A2C4-4D2670507109}" name="Payment_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7C9D86-1222-4059-B779-74C2AB5910A7}" name="Table1" displayName="Table1" ref="A1:D54" totalsRowShown="0" headerRowDxfId="5">
  <autoFilter ref="A1:D54" xr:uid="{387C9D86-1222-4059-B779-74C2AB5910A7}"/>
  <tableColumns count="4">
    <tableColumn id="1" xr3:uid="{F63B35AB-7810-4F26-8BC2-14FD73C1C3C2}" name="Date" dataDxfId="4"/>
    <tableColumn id="2" xr3:uid="{3AF7FDD3-0667-46DD-8ED2-10CCD9C7F570}" name="Expense_Category"/>
    <tableColumn id="3" xr3:uid="{1D56486D-F218-4A25-BC60-4AEC82F53CE0}" name="Description"/>
    <tableColumn id="4" xr3:uid="{EC22EF67-684F-4B8B-A8F0-7DD5C24D9C50}" name="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2B7093-203B-4512-AD79-42576E46722F}" name="Table3" displayName="Table3" ref="A1:H61" totalsRowShown="0" headerRowDxfId="3">
  <autoFilter ref="A1:H61" xr:uid="{BC2B7093-203B-4512-AD79-42576E46722F}"/>
  <tableColumns count="8">
    <tableColumn id="1" xr3:uid="{AA0694CC-F135-4D16-B3B7-03CD29200F37}" name="Date" dataDxfId="2"/>
    <tableColumn id="2" xr3:uid="{AF106815-72A7-48A3-AB30-450D49F30E2D}" name="Product_Name"/>
    <tableColumn id="3" xr3:uid="{FC9787E1-E60D-450C-A276-C8A3C70FDC93}" name="Opening_Stock"/>
    <tableColumn id="4" xr3:uid="{4825D2F4-A319-4DBA-B197-C191F406889C}" name="Stock_Added"/>
    <tableColumn id="5" xr3:uid="{24C14082-251C-4D2F-A57C-F98D4225AC51}" name="Units_Sold"/>
    <tableColumn id="6" xr3:uid="{0F9510C2-97BA-4135-BBEF-68697EA708D1}" name="Closing_Stock">
      <calculatedColumnFormula>SUM(C2,D2)-E2</calculatedColumnFormula>
    </tableColumn>
    <tableColumn id="7" xr3:uid="{D1601130-427E-4272-BA0F-7CDF3E9D745A}" name="Reorder_Level"/>
    <tableColumn id="8" xr3:uid="{9184CB1A-8C4E-4685-9DEA-56BDE9AEB4BF}" name="Stock status">
      <calculatedColumnFormula>IF(F2&lt;=G2, "Reorder Needed", "Ok")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26D1EB-81F3-4219-9DFE-3E153CD14913}" name="Table4" displayName="Table4" ref="A1:F21" totalsRowShown="0" headerRowDxfId="1">
  <autoFilter ref="A1:F21" xr:uid="{EF26D1EB-81F3-4219-9DFE-3E153CD14913}"/>
  <tableColumns count="6">
    <tableColumn id="1" xr3:uid="{8CECDAC8-E767-40A7-9A86-E616CDA16BF4}" name="Employee_Name"/>
    <tableColumn id="2" xr3:uid="{0C3438FE-AB00-4C01-8AF0-74F7758FD15C}" name="Month"/>
    <tableColumn id="3" xr3:uid="{1C4CC2BC-6D6E-47FC-9305-AE9336FCC10C}" name="Days_Present"/>
    <tableColumn id="4" xr3:uid="{A7E77C70-AE49-4C7B-AEC5-A062B7D0997D}" name="Late_Arrivals"/>
    <tableColumn id="5" xr3:uid="{F88FC79B-12B7-44AE-A3E5-65365B3DCCD0}" name="Tasks_Completed"/>
    <tableColumn id="6" xr3:uid="{3B2324B2-0BAE-4377-910E-AFE42C4514D1}" name="Productivity_score" dataDxfId="0">
      <calculatedColumnFormula>E2/C2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1040-B655-45F5-9E1E-94FFDFC20FBB}">
  <dimension ref="A1:J128"/>
  <sheetViews>
    <sheetView topLeftCell="B1" workbookViewId="0">
      <selection activeCell="I14" sqref="I14"/>
    </sheetView>
  </sheetViews>
  <sheetFormatPr defaultRowHeight="14.5" x14ac:dyDescent="0.35"/>
  <cols>
    <col min="1" max="1" width="9.453125" customWidth="1"/>
    <col min="2" max="2" width="17.90625" customWidth="1"/>
    <col min="3" max="3" width="15.36328125" customWidth="1"/>
    <col min="4" max="4" width="11.7265625" customWidth="1"/>
    <col min="5" max="5" width="11.453125" customWidth="1"/>
    <col min="6" max="6" width="10" customWidth="1"/>
    <col min="7" max="7" width="18" customWidth="1"/>
    <col min="9" max="9" width="12.36328125" bestFit="1" customWidth="1"/>
    <col min="10" max="10" width="14.36328125" bestFit="1" customWidth="1"/>
    <col min="11" max="11" width="16.08984375" bestFit="1" customWidth="1"/>
    <col min="12" max="12" width="9.81640625" bestFit="1" customWidth="1"/>
    <col min="13" max="13" width="12.36328125" bestFit="1" customWidth="1"/>
    <col min="14" max="14" width="7.7265625" bestFit="1" customWidth="1"/>
    <col min="15" max="15" width="6.453125" bestFit="1" customWidth="1"/>
    <col min="16" max="16" width="10.7265625" bestFit="1" customWidth="1"/>
    <col min="17" max="17" width="10.54296875" bestFit="1" customWidth="1"/>
    <col min="18" max="18" width="11.08984375" bestFit="1" customWidth="1"/>
    <col min="19" max="19" width="14.08984375" bestFit="1" customWidth="1"/>
    <col min="20" max="20" width="9.26953125" bestFit="1" customWidth="1"/>
    <col min="21" max="22" width="11.81640625" bestFit="1" customWidth="1"/>
    <col min="23" max="23" width="14.81640625" bestFit="1" customWidth="1"/>
    <col min="24" max="24" width="15.453125" bestFit="1" customWidth="1"/>
    <col min="25" max="25" width="18.453125" bestFit="1" customWidth="1"/>
    <col min="26" max="26" width="10" bestFit="1" customWidth="1"/>
    <col min="27" max="27" width="13" bestFit="1" customWidth="1"/>
    <col min="28" max="28" width="12.26953125" bestFit="1" customWidth="1"/>
    <col min="29" max="29" width="15.26953125" bestFit="1" customWidth="1"/>
    <col min="30" max="30" width="11" bestFit="1" customWidth="1"/>
    <col min="31" max="31" width="14" bestFit="1" customWidth="1"/>
    <col min="32" max="32" width="12.36328125" bestFit="1" customWidth="1"/>
    <col min="33" max="33" width="15.26953125" bestFit="1" customWidth="1"/>
    <col min="34" max="34" width="10.1796875" bestFit="1" customWidth="1"/>
    <col min="35" max="35" width="13.1796875" bestFit="1" customWidth="1"/>
    <col min="36" max="36" width="12.54296875" bestFit="1" customWidth="1"/>
    <col min="37" max="37" width="15.54296875" bestFit="1" customWidth="1"/>
    <col min="38" max="38" width="10.72656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25</v>
      </c>
      <c r="G1" s="2" t="s">
        <v>5</v>
      </c>
      <c r="I1">
        <f>SUM(F2:F128)</f>
        <v>1298170</v>
      </c>
    </row>
    <row r="2" spans="1:10" x14ac:dyDescent="0.35">
      <c r="A2" s="1">
        <v>46023</v>
      </c>
      <c r="B2" t="s">
        <v>33</v>
      </c>
      <c r="C2" t="s">
        <v>34</v>
      </c>
      <c r="D2">
        <v>200</v>
      </c>
      <c r="E2">
        <v>5</v>
      </c>
      <c r="F2">
        <f>D2*E2</f>
        <v>1000</v>
      </c>
      <c r="G2" t="s">
        <v>26</v>
      </c>
    </row>
    <row r="3" spans="1:10" x14ac:dyDescent="0.35">
      <c r="A3" s="1">
        <v>46023</v>
      </c>
      <c r="B3" t="s">
        <v>39</v>
      </c>
      <c r="C3" t="s">
        <v>98</v>
      </c>
      <c r="D3">
        <v>1000</v>
      </c>
      <c r="E3">
        <v>80</v>
      </c>
      <c r="F3">
        <f>D3*E3</f>
        <v>80000</v>
      </c>
      <c r="G3" t="s">
        <v>28</v>
      </c>
    </row>
    <row r="4" spans="1:10" x14ac:dyDescent="0.35">
      <c r="A4" s="1">
        <v>46023</v>
      </c>
      <c r="B4" t="s">
        <v>6</v>
      </c>
      <c r="C4" t="s">
        <v>7</v>
      </c>
      <c r="D4">
        <v>500</v>
      </c>
      <c r="E4">
        <v>80</v>
      </c>
      <c r="F4">
        <f>D4*E4</f>
        <v>40000</v>
      </c>
      <c r="G4" t="s">
        <v>26</v>
      </c>
    </row>
    <row r="5" spans="1:10" x14ac:dyDescent="0.35">
      <c r="A5" s="1">
        <v>46024</v>
      </c>
      <c r="B5" t="s">
        <v>8</v>
      </c>
      <c r="C5" t="s">
        <v>29</v>
      </c>
      <c r="D5">
        <v>500</v>
      </c>
      <c r="E5">
        <v>70</v>
      </c>
      <c r="F5">
        <f>D5*E5</f>
        <v>35000</v>
      </c>
      <c r="G5" t="s">
        <v>26</v>
      </c>
    </row>
    <row r="6" spans="1:10" x14ac:dyDescent="0.35">
      <c r="A6" s="1">
        <v>46024</v>
      </c>
      <c r="B6" t="s">
        <v>39</v>
      </c>
      <c r="C6" t="s">
        <v>40</v>
      </c>
      <c r="D6">
        <v>50</v>
      </c>
      <c r="E6">
        <v>120</v>
      </c>
      <c r="F6">
        <f>D6*E6</f>
        <v>6000</v>
      </c>
      <c r="G6" t="s">
        <v>28</v>
      </c>
    </row>
    <row r="7" spans="1:10" x14ac:dyDescent="0.35">
      <c r="A7" s="1">
        <v>46024</v>
      </c>
      <c r="B7" t="s">
        <v>6</v>
      </c>
      <c r="C7" t="s">
        <v>24</v>
      </c>
      <c r="D7">
        <v>800</v>
      </c>
      <c r="E7">
        <v>50</v>
      </c>
      <c r="F7">
        <f t="shared" ref="F7:F73" si="0">D7*E7</f>
        <v>40000</v>
      </c>
      <c r="G7" t="s">
        <v>23</v>
      </c>
    </row>
    <row r="8" spans="1:10" x14ac:dyDescent="0.35">
      <c r="A8" s="1">
        <v>46025</v>
      </c>
      <c r="B8" t="s">
        <v>33</v>
      </c>
      <c r="C8" t="s">
        <v>35</v>
      </c>
      <c r="D8">
        <v>165</v>
      </c>
      <c r="E8">
        <v>50</v>
      </c>
      <c r="F8">
        <f t="shared" si="0"/>
        <v>8250</v>
      </c>
      <c r="G8" t="s">
        <v>26</v>
      </c>
    </row>
    <row r="9" spans="1:10" x14ac:dyDescent="0.35">
      <c r="A9" s="1">
        <v>46025</v>
      </c>
      <c r="B9" t="s">
        <v>8</v>
      </c>
      <c r="C9" t="s">
        <v>9</v>
      </c>
      <c r="D9">
        <v>250</v>
      </c>
      <c r="E9">
        <v>60</v>
      </c>
      <c r="F9">
        <f t="shared" si="0"/>
        <v>15000</v>
      </c>
      <c r="G9" t="s">
        <v>26</v>
      </c>
      <c r="I9" s="4" t="s">
        <v>99</v>
      </c>
      <c r="J9" t="s">
        <v>101</v>
      </c>
    </row>
    <row r="10" spans="1:10" x14ac:dyDescent="0.35">
      <c r="A10" s="1">
        <v>46025</v>
      </c>
      <c r="B10" t="s">
        <v>6</v>
      </c>
      <c r="C10" t="s">
        <v>27</v>
      </c>
      <c r="D10">
        <v>90</v>
      </c>
      <c r="E10">
        <v>150</v>
      </c>
      <c r="F10">
        <f t="shared" si="0"/>
        <v>13500</v>
      </c>
      <c r="G10" t="s">
        <v>28</v>
      </c>
      <c r="I10" s="5" t="s">
        <v>37</v>
      </c>
      <c r="J10">
        <v>16380</v>
      </c>
    </row>
    <row r="11" spans="1:10" x14ac:dyDescent="0.35">
      <c r="A11" s="1">
        <v>46026</v>
      </c>
      <c r="B11" t="s">
        <v>6</v>
      </c>
      <c r="C11" t="s">
        <v>7</v>
      </c>
      <c r="D11">
        <v>120</v>
      </c>
      <c r="E11">
        <v>80</v>
      </c>
      <c r="F11">
        <f t="shared" si="0"/>
        <v>9600</v>
      </c>
      <c r="G11" t="s">
        <v>23</v>
      </c>
      <c r="I11" s="5" t="s">
        <v>34</v>
      </c>
      <c r="J11">
        <v>88210</v>
      </c>
    </row>
    <row r="12" spans="1:10" x14ac:dyDescent="0.35">
      <c r="A12" s="1">
        <v>46026</v>
      </c>
      <c r="B12" t="s">
        <v>8</v>
      </c>
      <c r="C12" t="s">
        <v>9</v>
      </c>
      <c r="D12">
        <v>100</v>
      </c>
      <c r="E12">
        <v>60</v>
      </c>
      <c r="F12">
        <f t="shared" si="0"/>
        <v>6000</v>
      </c>
      <c r="G12" t="s">
        <v>26</v>
      </c>
      <c r="I12" s="5" t="s">
        <v>41</v>
      </c>
      <c r="J12">
        <v>150400</v>
      </c>
    </row>
    <row r="13" spans="1:10" x14ac:dyDescent="0.35">
      <c r="A13" s="1">
        <v>46027</v>
      </c>
      <c r="B13" t="s">
        <v>8</v>
      </c>
      <c r="C13" t="s">
        <v>29</v>
      </c>
      <c r="D13">
        <v>170</v>
      </c>
      <c r="E13">
        <v>70</v>
      </c>
      <c r="F13">
        <f t="shared" si="0"/>
        <v>11900</v>
      </c>
      <c r="G13" t="s">
        <v>23</v>
      </c>
      <c r="I13" s="5" t="s">
        <v>35</v>
      </c>
      <c r="J13">
        <v>45150</v>
      </c>
    </row>
    <row r="14" spans="1:10" x14ac:dyDescent="0.35">
      <c r="A14" s="1">
        <v>46028</v>
      </c>
      <c r="B14" t="s">
        <v>30</v>
      </c>
      <c r="C14" t="s">
        <v>31</v>
      </c>
      <c r="D14">
        <v>70</v>
      </c>
      <c r="E14">
        <v>40</v>
      </c>
      <c r="F14">
        <f t="shared" si="0"/>
        <v>2800</v>
      </c>
      <c r="G14" t="s">
        <v>28</v>
      </c>
      <c r="I14" s="5" t="s">
        <v>32</v>
      </c>
      <c r="J14">
        <v>59520</v>
      </c>
    </row>
    <row r="15" spans="1:10" x14ac:dyDescent="0.35">
      <c r="A15" s="1">
        <v>46029</v>
      </c>
      <c r="B15" t="s">
        <v>30</v>
      </c>
      <c r="C15" t="s">
        <v>32</v>
      </c>
      <c r="D15">
        <v>150</v>
      </c>
      <c r="E15">
        <v>120</v>
      </c>
      <c r="F15">
        <f t="shared" si="0"/>
        <v>18000</v>
      </c>
      <c r="G15" t="s">
        <v>26</v>
      </c>
      <c r="I15" s="5" t="s">
        <v>27</v>
      </c>
      <c r="J15">
        <v>211050</v>
      </c>
    </row>
    <row r="16" spans="1:10" x14ac:dyDescent="0.35">
      <c r="A16" s="1">
        <v>46030</v>
      </c>
      <c r="B16" t="s">
        <v>33</v>
      </c>
      <c r="C16" t="s">
        <v>34</v>
      </c>
      <c r="D16">
        <v>260</v>
      </c>
      <c r="E16">
        <v>30</v>
      </c>
      <c r="F16">
        <f t="shared" si="0"/>
        <v>7800</v>
      </c>
      <c r="G16" t="s">
        <v>23</v>
      </c>
      <c r="I16" s="5" t="s">
        <v>9</v>
      </c>
      <c r="J16">
        <v>109260</v>
      </c>
    </row>
    <row r="17" spans="1:10" x14ac:dyDescent="0.35">
      <c r="A17" s="1">
        <v>46031</v>
      </c>
      <c r="B17" t="s">
        <v>33</v>
      </c>
      <c r="C17" t="s">
        <v>35</v>
      </c>
      <c r="D17">
        <v>290</v>
      </c>
      <c r="E17">
        <v>50</v>
      </c>
      <c r="F17">
        <f t="shared" si="0"/>
        <v>14500</v>
      </c>
      <c r="G17" t="s">
        <v>28</v>
      </c>
      <c r="I17" s="5" t="s">
        <v>98</v>
      </c>
      <c r="J17">
        <v>80000</v>
      </c>
    </row>
    <row r="18" spans="1:10" x14ac:dyDescent="0.35">
      <c r="A18" s="1">
        <v>46032</v>
      </c>
      <c r="B18" t="s">
        <v>36</v>
      </c>
      <c r="C18" t="s">
        <v>37</v>
      </c>
      <c r="D18">
        <v>320</v>
      </c>
      <c r="E18">
        <v>20</v>
      </c>
      <c r="F18">
        <f t="shared" si="0"/>
        <v>6400</v>
      </c>
      <c r="G18" t="s">
        <v>26</v>
      </c>
      <c r="I18" s="5" t="s">
        <v>31</v>
      </c>
      <c r="J18">
        <v>51240</v>
      </c>
    </row>
    <row r="19" spans="1:10" x14ac:dyDescent="0.35">
      <c r="A19" s="1">
        <v>46033</v>
      </c>
      <c r="B19" t="s">
        <v>36</v>
      </c>
      <c r="C19" t="s">
        <v>38</v>
      </c>
      <c r="D19">
        <v>95</v>
      </c>
      <c r="E19">
        <v>30</v>
      </c>
      <c r="F19">
        <f t="shared" si="0"/>
        <v>2850</v>
      </c>
      <c r="G19" t="s">
        <v>23</v>
      </c>
      <c r="I19" s="5" t="s">
        <v>7</v>
      </c>
      <c r="J19">
        <v>141040</v>
      </c>
    </row>
    <row r="20" spans="1:10" x14ac:dyDescent="0.35">
      <c r="A20" s="1">
        <v>46034</v>
      </c>
      <c r="B20" t="s">
        <v>39</v>
      </c>
      <c r="C20" t="s">
        <v>40</v>
      </c>
      <c r="D20">
        <v>50</v>
      </c>
      <c r="E20">
        <v>120</v>
      </c>
      <c r="F20">
        <f t="shared" si="0"/>
        <v>6000</v>
      </c>
      <c r="G20" t="s">
        <v>28</v>
      </c>
      <c r="I20" s="5" t="s">
        <v>38</v>
      </c>
      <c r="J20">
        <v>18270</v>
      </c>
    </row>
    <row r="21" spans="1:10" x14ac:dyDescent="0.35">
      <c r="A21" s="1">
        <v>46035</v>
      </c>
      <c r="B21" t="s">
        <v>39</v>
      </c>
      <c r="C21" t="s">
        <v>41</v>
      </c>
      <c r="D21">
        <v>100</v>
      </c>
      <c r="E21">
        <v>200</v>
      </c>
      <c r="F21">
        <f t="shared" si="0"/>
        <v>20000</v>
      </c>
      <c r="G21" t="s">
        <v>26</v>
      </c>
      <c r="I21" s="5" t="s">
        <v>40</v>
      </c>
      <c r="J21">
        <v>84120</v>
      </c>
    </row>
    <row r="22" spans="1:10" x14ac:dyDescent="0.35">
      <c r="A22" s="1">
        <v>46036</v>
      </c>
      <c r="B22" t="s">
        <v>6</v>
      </c>
      <c r="C22" t="s">
        <v>7</v>
      </c>
      <c r="D22">
        <v>440</v>
      </c>
      <c r="E22">
        <v>80</v>
      </c>
      <c r="F22">
        <f t="shared" si="0"/>
        <v>35200</v>
      </c>
      <c r="G22" t="s">
        <v>23</v>
      </c>
      <c r="I22" s="5" t="s">
        <v>24</v>
      </c>
      <c r="J22">
        <v>139300</v>
      </c>
    </row>
    <row r="23" spans="1:10" x14ac:dyDescent="0.35">
      <c r="A23" s="1">
        <v>46037</v>
      </c>
      <c r="B23" t="s">
        <v>6</v>
      </c>
      <c r="C23" t="s">
        <v>24</v>
      </c>
      <c r="D23">
        <v>700</v>
      </c>
      <c r="E23">
        <v>50</v>
      </c>
      <c r="F23">
        <f t="shared" si="0"/>
        <v>35000</v>
      </c>
      <c r="G23" t="s">
        <v>28</v>
      </c>
      <c r="I23" s="5" t="s">
        <v>29</v>
      </c>
      <c r="J23">
        <v>104230</v>
      </c>
    </row>
    <row r="24" spans="1:10" x14ac:dyDescent="0.35">
      <c r="A24" s="1">
        <v>46038</v>
      </c>
      <c r="B24" t="s">
        <v>6</v>
      </c>
      <c r="C24" t="s">
        <v>27</v>
      </c>
      <c r="D24">
        <v>1000</v>
      </c>
      <c r="E24">
        <v>150</v>
      </c>
      <c r="F24">
        <f t="shared" si="0"/>
        <v>150000</v>
      </c>
      <c r="G24" t="s">
        <v>26</v>
      </c>
      <c r="I24" s="5" t="s">
        <v>100</v>
      </c>
      <c r="J24">
        <v>1298170</v>
      </c>
    </row>
    <row r="25" spans="1:10" x14ac:dyDescent="0.35">
      <c r="A25" s="1">
        <v>46039</v>
      </c>
      <c r="B25" t="s">
        <v>8</v>
      </c>
      <c r="C25" t="s">
        <v>9</v>
      </c>
      <c r="D25">
        <v>1300</v>
      </c>
      <c r="E25">
        <v>60</v>
      </c>
      <c r="F25">
        <f t="shared" si="0"/>
        <v>78000</v>
      </c>
      <c r="G25" t="s">
        <v>23</v>
      </c>
    </row>
    <row r="26" spans="1:10" x14ac:dyDescent="0.35">
      <c r="A26" s="1">
        <v>46040</v>
      </c>
      <c r="B26" t="s">
        <v>8</v>
      </c>
      <c r="C26" t="s">
        <v>29</v>
      </c>
      <c r="D26">
        <v>600</v>
      </c>
      <c r="E26">
        <v>70</v>
      </c>
      <c r="F26">
        <f t="shared" si="0"/>
        <v>42000</v>
      </c>
      <c r="G26" t="s">
        <v>28</v>
      </c>
    </row>
    <row r="27" spans="1:10" x14ac:dyDescent="0.35">
      <c r="A27" s="1">
        <v>46041</v>
      </c>
      <c r="B27" t="s">
        <v>30</v>
      </c>
      <c r="C27" t="s">
        <v>31</v>
      </c>
      <c r="D27">
        <v>800</v>
      </c>
      <c r="E27">
        <v>40</v>
      </c>
      <c r="F27">
        <f t="shared" si="0"/>
        <v>32000</v>
      </c>
      <c r="G27" t="s">
        <v>26</v>
      </c>
    </row>
    <row r="28" spans="1:10" x14ac:dyDescent="0.35">
      <c r="A28" s="1">
        <v>46042</v>
      </c>
      <c r="B28" t="s">
        <v>30</v>
      </c>
      <c r="C28" t="s">
        <v>32</v>
      </c>
      <c r="D28">
        <v>220</v>
      </c>
      <c r="E28">
        <v>120</v>
      </c>
      <c r="F28">
        <f t="shared" si="0"/>
        <v>26400</v>
      </c>
      <c r="G28" t="s">
        <v>23</v>
      </c>
    </row>
    <row r="29" spans="1:10" x14ac:dyDescent="0.35">
      <c r="A29" s="1">
        <v>46043</v>
      </c>
      <c r="B29" t="s">
        <v>33</v>
      </c>
      <c r="C29" t="s">
        <v>34</v>
      </c>
      <c r="D29">
        <v>2500</v>
      </c>
      <c r="E29">
        <v>30</v>
      </c>
      <c r="F29">
        <f t="shared" si="0"/>
        <v>75000</v>
      </c>
      <c r="G29" t="s">
        <v>28</v>
      </c>
      <c r="I29" t="s">
        <v>102</v>
      </c>
    </row>
    <row r="30" spans="1:10" x14ac:dyDescent="0.35">
      <c r="A30" s="1">
        <v>46044</v>
      </c>
      <c r="B30" t="s">
        <v>33</v>
      </c>
      <c r="C30" t="s">
        <v>35</v>
      </c>
      <c r="D30">
        <v>280</v>
      </c>
      <c r="E30">
        <v>50</v>
      </c>
      <c r="F30">
        <f t="shared" si="0"/>
        <v>14000</v>
      </c>
      <c r="G30" t="s">
        <v>26</v>
      </c>
      <c r="I30">
        <f>SUM(F2:F128)</f>
        <v>1298170</v>
      </c>
    </row>
    <row r="31" spans="1:10" x14ac:dyDescent="0.35">
      <c r="A31" s="1">
        <v>46045</v>
      </c>
      <c r="B31" t="s">
        <v>36</v>
      </c>
      <c r="C31" t="s">
        <v>37</v>
      </c>
      <c r="D31">
        <v>310</v>
      </c>
      <c r="E31">
        <v>20</v>
      </c>
      <c r="F31">
        <f t="shared" si="0"/>
        <v>6200</v>
      </c>
      <c r="G31" t="s">
        <v>23</v>
      </c>
    </row>
    <row r="32" spans="1:10" x14ac:dyDescent="0.35">
      <c r="A32" s="1">
        <v>46046</v>
      </c>
      <c r="B32" t="s">
        <v>36</v>
      </c>
      <c r="C32" t="s">
        <v>38</v>
      </c>
      <c r="D32">
        <v>304</v>
      </c>
      <c r="E32">
        <v>30</v>
      </c>
      <c r="F32">
        <f t="shared" si="0"/>
        <v>9120</v>
      </c>
      <c r="G32" t="s">
        <v>28</v>
      </c>
    </row>
    <row r="33" spans="1:7" x14ac:dyDescent="0.35">
      <c r="A33" s="1">
        <v>46047</v>
      </c>
      <c r="B33" t="s">
        <v>39</v>
      </c>
      <c r="C33" t="s">
        <v>40</v>
      </c>
      <c r="D33">
        <v>370</v>
      </c>
      <c r="E33">
        <v>120</v>
      </c>
      <c r="F33">
        <f t="shared" si="0"/>
        <v>44400</v>
      </c>
      <c r="G33" t="s">
        <v>26</v>
      </c>
    </row>
    <row r="34" spans="1:7" x14ac:dyDescent="0.35">
      <c r="A34" s="1">
        <v>46048</v>
      </c>
      <c r="B34" t="s">
        <v>39</v>
      </c>
      <c r="C34" t="s">
        <v>41</v>
      </c>
      <c r="D34">
        <v>400</v>
      </c>
      <c r="E34">
        <v>200</v>
      </c>
      <c r="F34">
        <f t="shared" si="0"/>
        <v>80000</v>
      </c>
      <c r="G34" t="s">
        <v>23</v>
      </c>
    </row>
    <row r="35" spans="1:7" x14ac:dyDescent="0.35">
      <c r="A35" s="1">
        <v>46049</v>
      </c>
      <c r="B35" t="s">
        <v>6</v>
      </c>
      <c r="C35" t="s">
        <v>7</v>
      </c>
      <c r="D35">
        <v>430</v>
      </c>
      <c r="E35">
        <v>80</v>
      </c>
      <c r="F35">
        <f t="shared" si="0"/>
        <v>34400</v>
      </c>
      <c r="G35" t="s">
        <v>28</v>
      </c>
    </row>
    <row r="36" spans="1:7" x14ac:dyDescent="0.35">
      <c r="A36" s="1">
        <v>46050</v>
      </c>
      <c r="B36" t="s">
        <v>6</v>
      </c>
      <c r="C36" t="s">
        <v>24</v>
      </c>
      <c r="D36">
        <v>600</v>
      </c>
      <c r="E36">
        <v>50</v>
      </c>
      <c r="F36">
        <f t="shared" si="0"/>
        <v>30000</v>
      </c>
      <c r="G36" t="s">
        <v>26</v>
      </c>
    </row>
    <row r="37" spans="1:7" x14ac:dyDescent="0.35">
      <c r="A37" s="1">
        <v>46051</v>
      </c>
      <c r="B37" t="s">
        <v>6</v>
      </c>
      <c r="C37" t="s">
        <v>27</v>
      </c>
      <c r="D37">
        <v>90</v>
      </c>
      <c r="E37">
        <v>150</v>
      </c>
      <c r="F37">
        <f t="shared" si="0"/>
        <v>13500</v>
      </c>
      <c r="G37" t="s">
        <v>23</v>
      </c>
    </row>
    <row r="38" spans="1:7" x14ac:dyDescent="0.35">
      <c r="A38" s="1">
        <v>46052</v>
      </c>
      <c r="B38" t="s">
        <v>8</v>
      </c>
      <c r="C38" t="s">
        <v>9</v>
      </c>
      <c r="D38">
        <v>120</v>
      </c>
      <c r="E38">
        <v>60</v>
      </c>
      <c r="F38">
        <f t="shared" si="0"/>
        <v>7200</v>
      </c>
      <c r="G38" t="s">
        <v>28</v>
      </c>
    </row>
    <row r="39" spans="1:7" x14ac:dyDescent="0.35">
      <c r="A39" s="1">
        <v>46053</v>
      </c>
      <c r="B39" t="s">
        <v>8</v>
      </c>
      <c r="C39" t="s">
        <v>29</v>
      </c>
      <c r="D39">
        <v>150</v>
      </c>
      <c r="E39">
        <v>70</v>
      </c>
      <c r="F39">
        <f t="shared" si="0"/>
        <v>10500</v>
      </c>
      <c r="G39" t="s">
        <v>26</v>
      </c>
    </row>
    <row r="40" spans="1:7" x14ac:dyDescent="0.35">
      <c r="A40" s="1">
        <v>46054</v>
      </c>
      <c r="B40" t="s">
        <v>30</v>
      </c>
      <c r="C40" t="s">
        <v>31</v>
      </c>
      <c r="D40">
        <v>180</v>
      </c>
      <c r="E40">
        <v>40</v>
      </c>
      <c r="F40">
        <f t="shared" si="0"/>
        <v>7200</v>
      </c>
      <c r="G40" t="s">
        <v>23</v>
      </c>
    </row>
    <row r="41" spans="1:7" x14ac:dyDescent="0.35">
      <c r="A41" s="1">
        <v>46055</v>
      </c>
      <c r="B41" t="s">
        <v>30</v>
      </c>
      <c r="C41" t="s">
        <v>32</v>
      </c>
      <c r="D41">
        <v>21</v>
      </c>
      <c r="E41">
        <v>120</v>
      </c>
      <c r="F41">
        <f t="shared" si="0"/>
        <v>2520</v>
      </c>
      <c r="G41" t="s">
        <v>28</v>
      </c>
    </row>
    <row r="42" spans="1:7" x14ac:dyDescent="0.35">
      <c r="A42" s="1">
        <v>46056</v>
      </c>
      <c r="B42" t="s">
        <v>33</v>
      </c>
      <c r="C42" t="s">
        <v>34</v>
      </c>
      <c r="D42">
        <v>24</v>
      </c>
      <c r="E42">
        <v>30</v>
      </c>
      <c r="F42">
        <f t="shared" si="0"/>
        <v>720</v>
      </c>
      <c r="G42" t="s">
        <v>26</v>
      </c>
    </row>
    <row r="43" spans="1:7" x14ac:dyDescent="0.35">
      <c r="A43" s="1">
        <v>46057</v>
      </c>
      <c r="B43" t="s">
        <v>33</v>
      </c>
      <c r="C43" t="s">
        <v>35</v>
      </c>
      <c r="D43">
        <v>27</v>
      </c>
      <c r="E43">
        <v>50</v>
      </c>
      <c r="F43">
        <f t="shared" si="0"/>
        <v>1350</v>
      </c>
      <c r="G43" t="s">
        <v>23</v>
      </c>
    </row>
    <row r="44" spans="1:7" x14ac:dyDescent="0.35">
      <c r="A44" s="1">
        <v>46058</v>
      </c>
      <c r="B44" t="s">
        <v>36</v>
      </c>
      <c r="C44" t="s">
        <v>37</v>
      </c>
      <c r="D44">
        <v>30</v>
      </c>
      <c r="E44">
        <v>20</v>
      </c>
      <c r="F44">
        <f t="shared" si="0"/>
        <v>600</v>
      </c>
      <c r="G44" t="s">
        <v>28</v>
      </c>
    </row>
    <row r="45" spans="1:7" x14ac:dyDescent="0.35">
      <c r="A45" s="1">
        <v>46059</v>
      </c>
      <c r="B45" t="s">
        <v>36</v>
      </c>
      <c r="C45" t="s">
        <v>38</v>
      </c>
      <c r="D45">
        <v>33</v>
      </c>
      <c r="E45">
        <v>30</v>
      </c>
      <c r="F45">
        <f t="shared" si="0"/>
        <v>990</v>
      </c>
      <c r="G45" t="s">
        <v>26</v>
      </c>
    </row>
    <row r="46" spans="1:7" x14ac:dyDescent="0.35">
      <c r="A46" s="1">
        <v>46060</v>
      </c>
      <c r="B46" t="s">
        <v>39</v>
      </c>
      <c r="C46" t="s">
        <v>40</v>
      </c>
      <c r="D46">
        <v>36</v>
      </c>
      <c r="E46">
        <v>120</v>
      </c>
      <c r="F46">
        <f t="shared" si="0"/>
        <v>4320</v>
      </c>
      <c r="G46" t="s">
        <v>23</v>
      </c>
    </row>
    <row r="47" spans="1:7" x14ac:dyDescent="0.35">
      <c r="A47" s="1">
        <v>46061</v>
      </c>
      <c r="B47" t="s">
        <v>39</v>
      </c>
      <c r="C47" t="s">
        <v>41</v>
      </c>
      <c r="D47">
        <v>39</v>
      </c>
      <c r="E47">
        <v>200</v>
      </c>
      <c r="F47">
        <f t="shared" si="0"/>
        <v>7800</v>
      </c>
      <c r="G47" t="s">
        <v>28</v>
      </c>
    </row>
    <row r="48" spans="1:7" x14ac:dyDescent="0.35">
      <c r="A48" s="1">
        <v>46062</v>
      </c>
      <c r="B48" t="s">
        <v>6</v>
      </c>
      <c r="C48" t="s">
        <v>7</v>
      </c>
      <c r="D48">
        <v>42</v>
      </c>
      <c r="E48">
        <v>80</v>
      </c>
      <c r="F48">
        <f t="shared" si="0"/>
        <v>3360</v>
      </c>
      <c r="G48" t="s">
        <v>26</v>
      </c>
    </row>
    <row r="49" spans="1:7" x14ac:dyDescent="0.35">
      <c r="A49" s="1">
        <v>46063</v>
      </c>
      <c r="B49" t="s">
        <v>6</v>
      </c>
      <c r="C49" t="s">
        <v>24</v>
      </c>
      <c r="D49">
        <v>50</v>
      </c>
      <c r="E49">
        <v>50</v>
      </c>
      <c r="F49">
        <f t="shared" si="0"/>
        <v>2500</v>
      </c>
      <c r="G49" t="s">
        <v>23</v>
      </c>
    </row>
    <row r="50" spans="1:7" x14ac:dyDescent="0.35">
      <c r="A50" s="1">
        <v>46064</v>
      </c>
      <c r="B50" t="s">
        <v>6</v>
      </c>
      <c r="C50" t="s">
        <v>27</v>
      </c>
      <c r="D50">
        <v>80</v>
      </c>
      <c r="E50">
        <v>150</v>
      </c>
      <c r="F50">
        <f t="shared" si="0"/>
        <v>12000</v>
      </c>
      <c r="G50" t="s">
        <v>28</v>
      </c>
    </row>
    <row r="51" spans="1:7" x14ac:dyDescent="0.35">
      <c r="A51" s="1">
        <v>46065</v>
      </c>
      <c r="B51" t="s">
        <v>8</v>
      </c>
      <c r="C51" t="s">
        <v>9</v>
      </c>
      <c r="D51">
        <v>11</v>
      </c>
      <c r="E51">
        <v>60</v>
      </c>
      <c r="F51">
        <f t="shared" si="0"/>
        <v>660</v>
      </c>
      <c r="G51" t="s">
        <v>26</v>
      </c>
    </row>
    <row r="52" spans="1:7" x14ac:dyDescent="0.35">
      <c r="A52" s="1">
        <v>46066</v>
      </c>
      <c r="B52" t="s">
        <v>8</v>
      </c>
      <c r="C52" t="s">
        <v>29</v>
      </c>
      <c r="D52">
        <v>14</v>
      </c>
      <c r="E52">
        <v>70</v>
      </c>
      <c r="F52">
        <f t="shared" si="0"/>
        <v>980</v>
      </c>
      <c r="G52" t="s">
        <v>23</v>
      </c>
    </row>
    <row r="53" spans="1:7" x14ac:dyDescent="0.35">
      <c r="A53" s="1">
        <v>46067</v>
      </c>
      <c r="B53" t="s">
        <v>30</v>
      </c>
      <c r="C53" t="s">
        <v>31</v>
      </c>
      <c r="D53">
        <v>17</v>
      </c>
      <c r="E53">
        <v>40</v>
      </c>
      <c r="F53">
        <f t="shared" si="0"/>
        <v>680</v>
      </c>
      <c r="G53" t="s">
        <v>28</v>
      </c>
    </row>
    <row r="54" spans="1:7" x14ac:dyDescent="0.35">
      <c r="A54" s="1">
        <v>46068</v>
      </c>
      <c r="B54" t="s">
        <v>30</v>
      </c>
      <c r="C54" t="s">
        <v>32</v>
      </c>
      <c r="D54">
        <v>20</v>
      </c>
      <c r="E54">
        <v>120</v>
      </c>
      <c r="F54">
        <f t="shared" si="0"/>
        <v>2400</v>
      </c>
      <c r="G54" t="s">
        <v>26</v>
      </c>
    </row>
    <row r="55" spans="1:7" x14ac:dyDescent="0.35">
      <c r="A55" s="1">
        <v>46069</v>
      </c>
      <c r="B55" t="s">
        <v>33</v>
      </c>
      <c r="C55" t="s">
        <v>34</v>
      </c>
      <c r="D55">
        <v>23</v>
      </c>
      <c r="E55">
        <v>30</v>
      </c>
      <c r="F55">
        <f t="shared" si="0"/>
        <v>690</v>
      </c>
      <c r="G55" t="s">
        <v>23</v>
      </c>
    </row>
    <row r="56" spans="1:7" x14ac:dyDescent="0.35">
      <c r="A56" s="1">
        <v>46070</v>
      </c>
      <c r="B56" t="s">
        <v>33</v>
      </c>
      <c r="C56" t="s">
        <v>35</v>
      </c>
      <c r="D56">
        <v>26</v>
      </c>
      <c r="E56">
        <v>50</v>
      </c>
      <c r="F56">
        <f t="shared" si="0"/>
        <v>1300</v>
      </c>
      <c r="G56" t="s">
        <v>28</v>
      </c>
    </row>
    <row r="57" spans="1:7" x14ac:dyDescent="0.35">
      <c r="A57" s="1">
        <v>46071</v>
      </c>
      <c r="B57" t="s">
        <v>36</v>
      </c>
      <c r="C57" t="s">
        <v>37</v>
      </c>
      <c r="D57">
        <v>29</v>
      </c>
      <c r="E57">
        <v>20</v>
      </c>
      <c r="F57">
        <f t="shared" si="0"/>
        <v>580</v>
      </c>
      <c r="G57" t="s">
        <v>26</v>
      </c>
    </row>
    <row r="58" spans="1:7" x14ac:dyDescent="0.35">
      <c r="A58" s="1">
        <v>46072</v>
      </c>
      <c r="B58" t="s">
        <v>36</v>
      </c>
      <c r="C58" t="s">
        <v>38</v>
      </c>
      <c r="D58">
        <v>32</v>
      </c>
      <c r="E58">
        <v>30</v>
      </c>
      <c r="F58">
        <f t="shared" si="0"/>
        <v>960</v>
      </c>
      <c r="G58" t="s">
        <v>23</v>
      </c>
    </row>
    <row r="59" spans="1:7" x14ac:dyDescent="0.35">
      <c r="A59" s="1">
        <v>46073</v>
      </c>
      <c r="B59" t="s">
        <v>39</v>
      </c>
      <c r="C59" t="s">
        <v>40</v>
      </c>
      <c r="D59">
        <v>35</v>
      </c>
      <c r="E59">
        <v>120</v>
      </c>
      <c r="F59">
        <f t="shared" si="0"/>
        <v>4200</v>
      </c>
      <c r="G59" t="s">
        <v>28</v>
      </c>
    </row>
    <row r="60" spans="1:7" x14ac:dyDescent="0.35">
      <c r="A60" s="1">
        <v>46074</v>
      </c>
      <c r="B60" t="s">
        <v>39</v>
      </c>
      <c r="C60" t="s">
        <v>41</v>
      </c>
      <c r="D60">
        <v>38</v>
      </c>
      <c r="E60">
        <v>200</v>
      </c>
      <c r="F60">
        <f t="shared" si="0"/>
        <v>7600</v>
      </c>
      <c r="G60" t="s">
        <v>26</v>
      </c>
    </row>
    <row r="61" spans="1:7" x14ac:dyDescent="0.35">
      <c r="A61" s="1">
        <v>46075</v>
      </c>
      <c r="B61" t="s">
        <v>6</v>
      </c>
      <c r="C61" t="s">
        <v>7</v>
      </c>
      <c r="D61">
        <v>41</v>
      </c>
      <c r="E61">
        <v>80</v>
      </c>
      <c r="F61">
        <f t="shared" si="0"/>
        <v>3280</v>
      </c>
      <c r="G61" t="s">
        <v>23</v>
      </c>
    </row>
    <row r="62" spans="1:7" x14ac:dyDescent="0.35">
      <c r="A62" s="1">
        <v>46076</v>
      </c>
      <c r="B62" t="s">
        <v>6</v>
      </c>
      <c r="C62" t="s">
        <v>24</v>
      </c>
      <c r="D62">
        <v>44</v>
      </c>
      <c r="E62">
        <v>50</v>
      </c>
      <c r="F62">
        <f t="shared" si="0"/>
        <v>2200</v>
      </c>
      <c r="G62" t="s">
        <v>28</v>
      </c>
    </row>
    <row r="63" spans="1:7" x14ac:dyDescent="0.35">
      <c r="A63" s="1">
        <v>46077</v>
      </c>
      <c r="B63" t="s">
        <v>6</v>
      </c>
      <c r="C63" t="s">
        <v>27</v>
      </c>
      <c r="D63">
        <v>7</v>
      </c>
      <c r="E63">
        <v>150</v>
      </c>
      <c r="F63">
        <f t="shared" si="0"/>
        <v>1050</v>
      </c>
      <c r="G63" t="s">
        <v>26</v>
      </c>
    </row>
    <row r="64" spans="1:7" x14ac:dyDescent="0.35">
      <c r="A64" s="1">
        <v>46078</v>
      </c>
      <c r="B64" t="s">
        <v>8</v>
      </c>
      <c r="C64" t="s">
        <v>9</v>
      </c>
      <c r="D64">
        <v>10</v>
      </c>
      <c r="E64">
        <v>60</v>
      </c>
      <c r="F64">
        <f t="shared" si="0"/>
        <v>600</v>
      </c>
      <c r="G64" t="s">
        <v>23</v>
      </c>
    </row>
    <row r="65" spans="1:7" x14ac:dyDescent="0.35">
      <c r="A65" s="1">
        <v>46079</v>
      </c>
      <c r="B65" t="s">
        <v>8</v>
      </c>
      <c r="C65" t="s">
        <v>29</v>
      </c>
      <c r="D65">
        <v>13</v>
      </c>
      <c r="E65">
        <v>70</v>
      </c>
      <c r="F65">
        <f t="shared" si="0"/>
        <v>910</v>
      </c>
      <c r="G65" t="s">
        <v>28</v>
      </c>
    </row>
    <row r="66" spans="1:7" x14ac:dyDescent="0.35">
      <c r="A66" s="1">
        <v>46080</v>
      </c>
      <c r="B66" t="s">
        <v>30</v>
      </c>
      <c r="C66" t="s">
        <v>31</v>
      </c>
      <c r="D66">
        <v>160</v>
      </c>
      <c r="E66">
        <v>40</v>
      </c>
      <c r="F66">
        <f t="shared" si="0"/>
        <v>6400</v>
      </c>
      <c r="G66" t="s">
        <v>26</v>
      </c>
    </row>
    <row r="67" spans="1:7" x14ac:dyDescent="0.35">
      <c r="A67" s="1">
        <v>46081</v>
      </c>
      <c r="B67" t="s">
        <v>30</v>
      </c>
      <c r="C67" t="s">
        <v>32</v>
      </c>
      <c r="D67">
        <v>19</v>
      </c>
      <c r="E67">
        <v>120</v>
      </c>
      <c r="F67">
        <f t="shared" si="0"/>
        <v>2280</v>
      </c>
      <c r="G67" t="s">
        <v>23</v>
      </c>
    </row>
    <row r="68" spans="1:7" x14ac:dyDescent="0.35">
      <c r="A68" s="1">
        <v>46082</v>
      </c>
      <c r="B68" t="s">
        <v>33</v>
      </c>
      <c r="C68" t="s">
        <v>34</v>
      </c>
      <c r="D68">
        <v>22</v>
      </c>
      <c r="E68">
        <v>30</v>
      </c>
      <c r="F68">
        <f t="shared" si="0"/>
        <v>660</v>
      </c>
      <c r="G68" t="s">
        <v>28</v>
      </c>
    </row>
    <row r="69" spans="1:7" x14ac:dyDescent="0.35">
      <c r="A69" s="1">
        <v>46083</v>
      </c>
      <c r="B69" t="s">
        <v>33</v>
      </c>
      <c r="C69" t="s">
        <v>35</v>
      </c>
      <c r="D69">
        <v>25</v>
      </c>
      <c r="E69">
        <v>50</v>
      </c>
      <c r="F69">
        <f t="shared" si="0"/>
        <v>1250</v>
      </c>
      <c r="G69" t="s">
        <v>26</v>
      </c>
    </row>
    <row r="70" spans="1:7" x14ac:dyDescent="0.35">
      <c r="A70" s="1">
        <v>46084</v>
      </c>
      <c r="B70" t="s">
        <v>36</v>
      </c>
      <c r="C70" t="s">
        <v>37</v>
      </c>
      <c r="D70">
        <v>28</v>
      </c>
      <c r="E70">
        <v>20</v>
      </c>
      <c r="F70">
        <f t="shared" si="0"/>
        <v>560</v>
      </c>
      <c r="G70" t="s">
        <v>23</v>
      </c>
    </row>
    <row r="71" spans="1:7" x14ac:dyDescent="0.35">
      <c r="A71" s="1">
        <v>46085</v>
      </c>
      <c r="B71" t="s">
        <v>36</v>
      </c>
      <c r="C71" t="s">
        <v>38</v>
      </c>
      <c r="D71">
        <v>31</v>
      </c>
      <c r="E71">
        <v>30</v>
      </c>
      <c r="F71">
        <f t="shared" si="0"/>
        <v>930</v>
      </c>
      <c r="G71" t="s">
        <v>28</v>
      </c>
    </row>
    <row r="72" spans="1:7" x14ac:dyDescent="0.35">
      <c r="A72" s="1">
        <v>46086</v>
      </c>
      <c r="B72" t="s">
        <v>39</v>
      </c>
      <c r="C72" t="s">
        <v>40</v>
      </c>
      <c r="D72">
        <v>34</v>
      </c>
      <c r="E72">
        <v>120</v>
      </c>
      <c r="F72">
        <f t="shared" si="0"/>
        <v>4080</v>
      </c>
      <c r="G72" t="s">
        <v>26</v>
      </c>
    </row>
    <row r="73" spans="1:7" x14ac:dyDescent="0.35">
      <c r="A73" s="1">
        <v>46087</v>
      </c>
      <c r="B73" t="s">
        <v>39</v>
      </c>
      <c r="C73" t="s">
        <v>41</v>
      </c>
      <c r="D73">
        <v>37</v>
      </c>
      <c r="E73">
        <v>200</v>
      </c>
      <c r="F73">
        <f t="shared" si="0"/>
        <v>7400</v>
      </c>
      <c r="G73" t="s">
        <v>23</v>
      </c>
    </row>
    <row r="74" spans="1:7" x14ac:dyDescent="0.35">
      <c r="A74" s="1">
        <v>46088</v>
      </c>
      <c r="B74" t="s">
        <v>6</v>
      </c>
      <c r="C74" t="s">
        <v>7</v>
      </c>
      <c r="D74">
        <v>40</v>
      </c>
      <c r="E74">
        <v>80</v>
      </c>
      <c r="F74">
        <f t="shared" ref="F74:F128" si="1">D74*E74</f>
        <v>3200</v>
      </c>
      <c r="G74" t="s">
        <v>28</v>
      </c>
    </row>
    <row r="75" spans="1:7" x14ac:dyDescent="0.35">
      <c r="A75" s="1">
        <v>46089</v>
      </c>
      <c r="B75" t="s">
        <v>6</v>
      </c>
      <c r="C75" t="s">
        <v>24</v>
      </c>
      <c r="D75">
        <v>430</v>
      </c>
      <c r="E75">
        <v>50</v>
      </c>
      <c r="F75">
        <f t="shared" si="1"/>
        <v>21500</v>
      </c>
      <c r="G75" t="s">
        <v>26</v>
      </c>
    </row>
    <row r="76" spans="1:7" x14ac:dyDescent="0.35">
      <c r="A76" s="1">
        <v>46090</v>
      </c>
      <c r="B76" t="s">
        <v>6</v>
      </c>
      <c r="C76" t="s">
        <v>27</v>
      </c>
      <c r="D76">
        <v>6</v>
      </c>
      <c r="E76">
        <v>150</v>
      </c>
      <c r="F76">
        <f t="shared" si="1"/>
        <v>900</v>
      </c>
      <c r="G76" t="s">
        <v>23</v>
      </c>
    </row>
    <row r="77" spans="1:7" x14ac:dyDescent="0.35">
      <c r="A77" s="1">
        <v>46091</v>
      </c>
      <c r="B77" t="s">
        <v>8</v>
      </c>
      <c r="C77" t="s">
        <v>9</v>
      </c>
      <c r="D77">
        <v>9</v>
      </c>
      <c r="E77">
        <v>60</v>
      </c>
      <c r="F77">
        <f t="shared" si="1"/>
        <v>540</v>
      </c>
      <c r="G77" t="s">
        <v>28</v>
      </c>
    </row>
    <row r="78" spans="1:7" x14ac:dyDescent="0.35">
      <c r="A78" s="1">
        <v>46092</v>
      </c>
      <c r="B78" t="s">
        <v>8</v>
      </c>
      <c r="C78" t="s">
        <v>29</v>
      </c>
      <c r="D78">
        <v>12</v>
      </c>
      <c r="E78">
        <v>70</v>
      </c>
      <c r="F78">
        <f t="shared" si="1"/>
        <v>840</v>
      </c>
      <c r="G78" t="s">
        <v>26</v>
      </c>
    </row>
    <row r="79" spans="1:7" x14ac:dyDescent="0.35">
      <c r="A79" s="1">
        <v>46093</v>
      </c>
      <c r="B79" t="s">
        <v>30</v>
      </c>
      <c r="C79" t="s">
        <v>31</v>
      </c>
      <c r="D79">
        <v>15</v>
      </c>
      <c r="E79">
        <v>40</v>
      </c>
      <c r="F79">
        <f t="shared" si="1"/>
        <v>600</v>
      </c>
      <c r="G79" t="s">
        <v>23</v>
      </c>
    </row>
    <row r="80" spans="1:7" x14ac:dyDescent="0.35">
      <c r="A80" s="1">
        <v>46094</v>
      </c>
      <c r="B80" t="s">
        <v>30</v>
      </c>
      <c r="C80" t="s">
        <v>32</v>
      </c>
      <c r="D80">
        <v>18</v>
      </c>
      <c r="E80">
        <v>120</v>
      </c>
      <c r="F80">
        <f t="shared" si="1"/>
        <v>2160</v>
      </c>
      <c r="G80" t="s">
        <v>28</v>
      </c>
    </row>
    <row r="81" spans="1:7" x14ac:dyDescent="0.35">
      <c r="A81" s="1">
        <v>46095</v>
      </c>
      <c r="B81" t="s">
        <v>33</v>
      </c>
      <c r="C81" t="s">
        <v>34</v>
      </c>
      <c r="D81">
        <v>21</v>
      </c>
      <c r="E81">
        <v>30</v>
      </c>
      <c r="F81">
        <f t="shared" si="1"/>
        <v>630</v>
      </c>
      <c r="G81" t="s">
        <v>26</v>
      </c>
    </row>
    <row r="82" spans="1:7" x14ac:dyDescent="0.35">
      <c r="A82" s="1">
        <v>46096</v>
      </c>
      <c r="B82" t="s">
        <v>33</v>
      </c>
      <c r="C82" t="s">
        <v>35</v>
      </c>
      <c r="D82">
        <v>24</v>
      </c>
      <c r="E82">
        <v>50</v>
      </c>
      <c r="F82">
        <f t="shared" si="1"/>
        <v>1200</v>
      </c>
      <c r="G82" t="s">
        <v>23</v>
      </c>
    </row>
    <row r="83" spans="1:7" x14ac:dyDescent="0.35">
      <c r="A83" s="1">
        <v>46097</v>
      </c>
      <c r="B83" t="s">
        <v>36</v>
      </c>
      <c r="C83" t="s">
        <v>37</v>
      </c>
      <c r="D83">
        <v>27</v>
      </c>
      <c r="E83">
        <v>20</v>
      </c>
      <c r="F83">
        <f t="shared" si="1"/>
        <v>540</v>
      </c>
      <c r="G83" t="s">
        <v>28</v>
      </c>
    </row>
    <row r="84" spans="1:7" x14ac:dyDescent="0.35">
      <c r="A84" s="1">
        <v>46098</v>
      </c>
      <c r="B84" t="s">
        <v>36</v>
      </c>
      <c r="C84" t="s">
        <v>38</v>
      </c>
      <c r="D84">
        <v>30</v>
      </c>
      <c r="E84">
        <v>30</v>
      </c>
      <c r="F84">
        <f t="shared" si="1"/>
        <v>900</v>
      </c>
      <c r="G84" t="s">
        <v>26</v>
      </c>
    </row>
    <row r="85" spans="1:7" x14ac:dyDescent="0.35">
      <c r="A85" s="1">
        <v>46099</v>
      </c>
      <c r="B85" t="s">
        <v>39</v>
      </c>
      <c r="C85" t="s">
        <v>40</v>
      </c>
      <c r="D85">
        <v>33</v>
      </c>
      <c r="E85">
        <v>120</v>
      </c>
      <c r="F85">
        <f t="shared" si="1"/>
        <v>3960</v>
      </c>
      <c r="G85" t="s">
        <v>23</v>
      </c>
    </row>
    <row r="86" spans="1:7" x14ac:dyDescent="0.35">
      <c r="A86" s="1">
        <v>46100</v>
      </c>
      <c r="B86" t="s">
        <v>39</v>
      </c>
      <c r="C86" t="s">
        <v>41</v>
      </c>
      <c r="D86">
        <v>36</v>
      </c>
      <c r="E86">
        <v>200</v>
      </c>
      <c r="F86">
        <f t="shared" si="1"/>
        <v>7200</v>
      </c>
      <c r="G86" t="s">
        <v>28</v>
      </c>
    </row>
    <row r="87" spans="1:7" x14ac:dyDescent="0.35">
      <c r="A87" s="1">
        <v>46101</v>
      </c>
      <c r="B87" t="s">
        <v>6</v>
      </c>
      <c r="C87" t="s">
        <v>7</v>
      </c>
      <c r="D87">
        <v>39</v>
      </c>
      <c r="E87">
        <v>80</v>
      </c>
      <c r="F87">
        <f t="shared" si="1"/>
        <v>3120</v>
      </c>
      <c r="G87" t="s">
        <v>26</v>
      </c>
    </row>
    <row r="88" spans="1:7" x14ac:dyDescent="0.35">
      <c r="A88" s="1">
        <v>46102</v>
      </c>
      <c r="B88" t="s">
        <v>6</v>
      </c>
      <c r="C88" t="s">
        <v>24</v>
      </c>
      <c r="D88">
        <v>42</v>
      </c>
      <c r="E88">
        <v>50</v>
      </c>
      <c r="F88">
        <f t="shared" si="1"/>
        <v>2100</v>
      </c>
      <c r="G88" t="s">
        <v>23</v>
      </c>
    </row>
    <row r="89" spans="1:7" x14ac:dyDescent="0.35">
      <c r="A89" s="1">
        <v>46103</v>
      </c>
      <c r="B89" t="s">
        <v>6</v>
      </c>
      <c r="C89" t="s">
        <v>27</v>
      </c>
      <c r="D89">
        <v>5</v>
      </c>
      <c r="E89">
        <v>150</v>
      </c>
      <c r="F89">
        <f t="shared" si="1"/>
        <v>750</v>
      </c>
      <c r="G89" t="s">
        <v>28</v>
      </c>
    </row>
    <row r="90" spans="1:7" x14ac:dyDescent="0.35">
      <c r="A90" s="1">
        <v>46104</v>
      </c>
      <c r="B90" t="s">
        <v>8</v>
      </c>
      <c r="C90" t="s">
        <v>9</v>
      </c>
      <c r="D90">
        <v>8</v>
      </c>
      <c r="E90">
        <v>60</v>
      </c>
      <c r="F90">
        <f t="shared" si="1"/>
        <v>480</v>
      </c>
      <c r="G90" t="s">
        <v>26</v>
      </c>
    </row>
    <row r="91" spans="1:7" x14ac:dyDescent="0.35">
      <c r="A91" s="1">
        <v>46105</v>
      </c>
      <c r="B91" t="s">
        <v>8</v>
      </c>
      <c r="C91" t="s">
        <v>29</v>
      </c>
      <c r="D91">
        <v>11</v>
      </c>
      <c r="E91">
        <v>70</v>
      </c>
      <c r="F91">
        <f t="shared" si="1"/>
        <v>770</v>
      </c>
      <c r="G91" t="s">
        <v>23</v>
      </c>
    </row>
    <row r="92" spans="1:7" x14ac:dyDescent="0.35">
      <c r="A92" s="1">
        <v>46106</v>
      </c>
      <c r="B92" t="s">
        <v>30</v>
      </c>
      <c r="C92" t="s">
        <v>31</v>
      </c>
      <c r="D92">
        <v>14</v>
      </c>
      <c r="E92">
        <v>40</v>
      </c>
      <c r="F92">
        <f t="shared" si="1"/>
        <v>560</v>
      </c>
      <c r="G92" t="s">
        <v>28</v>
      </c>
    </row>
    <row r="93" spans="1:7" x14ac:dyDescent="0.35">
      <c r="A93" s="1">
        <v>46107</v>
      </c>
      <c r="B93" t="s">
        <v>30</v>
      </c>
      <c r="C93" t="s">
        <v>32</v>
      </c>
      <c r="D93">
        <v>17</v>
      </c>
      <c r="E93">
        <v>120</v>
      </c>
      <c r="F93">
        <f t="shared" si="1"/>
        <v>2040</v>
      </c>
      <c r="G93" t="s">
        <v>26</v>
      </c>
    </row>
    <row r="94" spans="1:7" x14ac:dyDescent="0.35">
      <c r="A94" s="1">
        <v>46108</v>
      </c>
      <c r="B94" t="s">
        <v>33</v>
      </c>
      <c r="C94" t="s">
        <v>34</v>
      </c>
      <c r="D94">
        <v>20</v>
      </c>
      <c r="E94">
        <v>30</v>
      </c>
      <c r="F94">
        <f t="shared" si="1"/>
        <v>600</v>
      </c>
      <c r="G94" t="s">
        <v>23</v>
      </c>
    </row>
    <row r="95" spans="1:7" x14ac:dyDescent="0.35">
      <c r="A95" s="1">
        <v>46109</v>
      </c>
      <c r="B95" t="s">
        <v>33</v>
      </c>
      <c r="C95" t="s">
        <v>35</v>
      </c>
      <c r="D95">
        <v>23</v>
      </c>
      <c r="E95">
        <v>50</v>
      </c>
      <c r="F95">
        <f t="shared" si="1"/>
        <v>1150</v>
      </c>
      <c r="G95" t="s">
        <v>28</v>
      </c>
    </row>
    <row r="96" spans="1:7" x14ac:dyDescent="0.35">
      <c r="A96" s="1">
        <v>46110</v>
      </c>
      <c r="B96" t="s">
        <v>36</v>
      </c>
      <c r="C96" t="s">
        <v>37</v>
      </c>
      <c r="D96">
        <v>26</v>
      </c>
      <c r="E96">
        <v>20</v>
      </c>
      <c r="F96">
        <f t="shared" si="1"/>
        <v>520</v>
      </c>
      <c r="G96" t="s">
        <v>26</v>
      </c>
    </row>
    <row r="97" spans="1:7" x14ac:dyDescent="0.35">
      <c r="A97" s="1">
        <v>46111</v>
      </c>
      <c r="B97" t="s">
        <v>36</v>
      </c>
      <c r="C97" t="s">
        <v>38</v>
      </c>
      <c r="D97">
        <v>29</v>
      </c>
      <c r="E97">
        <v>30</v>
      </c>
      <c r="F97">
        <f t="shared" si="1"/>
        <v>870</v>
      </c>
      <c r="G97" t="s">
        <v>23</v>
      </c>
    </row>
    <row r="98" spans="1:7" x14ac:dyDescent="0.35">
      <c r="A98" s="1">
        <v>46112</v>
      </c>
      <c r="B98" t="s">
        <v>39</v>
      </c>
      <c r="C98" t="s">
        <v>40</v>
      </c>
      <c r="D98">
        <v>32</v>
      </c>
      <c r="E98">
        <v>120</v>
      </c>
      <c r="F98">
        <f t="shared" si="1"/>
        <v>3840</v>
      </c>
      <c r="G98" t="s">
        <v>28</v>
      </c>
    </row>
    <row r="99" spans="1:7" x14ac:dyDescent="0.35">
      <c r="A99" s="1">
        <v>46113</v>
      </c>
      <c r="B99" t="s">
        <v>39</v>
      </c>
      <c r="C99" t="s">
        <v>41</v>
      </c>
      <c r="D99">
        <v>35</v>
      </c>
      <c r="E99">
        <v>200</v>
      </c>
      <c r="F99">
        <f t="shared" si="1"/>
        <v>7000</v>
      </c>
      <c r="G99" t="s">
        <v>26</v>
      </c>
    </row>
    <row r="100" spans="1:7" x14ac:dyDescent="0.35">
      <c r="A100" s="1">
        <v>46114</v>
      </c>
      <c r="B100" t="s">
        <v>6</v>
      </c>
      <c r="C100" t="s">
        <v>7</v>
      </c>
      <c r="D100">
        <v>38</v>
      </c>
      <c r="E100">
        <v>80</v>
      </c>
      <c r="F100">
        <f t="shared" si="1"/>
        <v>3040</v>
      </c>
      <c r="G100" t="s">
        <v>23</v>
      </c>
    </row>
    <row r="101" spans="1:7" x14ac:dyDescent="0.35">
      <c r="A101" s="1">
        <v>46115</v>
      </c>
      <c r="B101" t="s">
        <v>6</v>
      </c>
      <c r="C101" t="s">
        <v>24</v>
      </c>
      <c r="D101">
        <v>41</v>
      </c>
      <c r="E101">
        <v>50</v>
      </c>
      <c r="F101">
        <f t="shared" si="1"/>
        <v>2050</v>
      </c>
      <c r="G101" t="s">
        <v>28</v>
      </c>
    </row>
    <row r="102" spans="1:7" x14ac:dyDescent="0.35">
      <c r="A102" s="1">
        <v>46116</v>
      </c>
      <c r="B102" t="s">
        <v>6</v>
      </c>
      <c r="C102" t="s">
        <v>27</v>
      </c>
      <c r="D102">
        <v>44</v>
      </c>
      <c r="E102">
        <v>150</v>
      </c>
      <c r="F102">
        <f t="shared" si="1"/>
        <v>6600</v>
      </c>
      <c r="G102" t="s">
        <v>26</v>
      </c>
    </row>
    <row r="103" spans="1:7" x14ac:dyDescent="0.35">
      <c r="A103" s="1">
        <v>46117</v>
      </c>
      <c r="B103" t="s">
        <v>8</v>
      </c>
      <c r="C103" t="s">
        <v>9</v>
      </c>
      <c r="D103">
        <v>7</v>
      </c>
      <c r="E103">
        <v>60</v>
      </c>
      <c r="F103">
        <f t="shared" si="1"/>
        <v>420</v>
      </c>
      <c r="G103" t="s">
        <v>23</v>
      </c>
    </row>
    <row r="104" spans="1:7" x14ac:dyDescent="0.35">
      <c r="A104" s="1">
        <v>46118</v>
      </c>
      <c r="B104" t="s">
        <v>8</v>
      </c>
      <c r="C104" t="s">
        <v>29</v>
      </c>
      <c r="D104">
        <v>10</v>
      </c>
      <c r="E104">
        <v>70</v>
      </c>
      <c r="F104">
        <f t="shared" si="1"/>
        <v>700</v>
      </c>
      <c r="G104" t="s">
        <v>28</v>
      </c>
    </row>
    <row r="105" spans="1:7" x14ac:dyDescent="0.35">
      <c r="A105" s="1">
        <v>46119</v>
      </c>
      <c r="B105" t="s">
        <v>30</v>
      </c>
      <c r="C105" t="s">
        <v>31</v>
      </c>
      <c r="D105">
        <v>13</v>
      </c>
      <c r="E105">
        <v>40</v>
      </c>
      <c r="F105">
        <f t="shared" si="1"/>
        <v>520</v>
      </c>
      <c r="G105" t="s">
        <v>26</v>
      </c>
    </row>
    <row r="106" spans="1:7" x14ac:dyDescent="0.35">
      <c r="A106" s="1">
        <v>46120</v>
      </c>
      <c r="B106" t="s">
        <v>30</v>
      </c>
      <c r="C106" t="s">
        <v>32</v>
      </c>
      <c r="D106">
        <v>16</v>
      </c>
      <c r="E106">
        <v>120</v>
      </c>
      <c r="F106">
        <f t="shared" si="1"/>
        <v>1920</v>
      </c>
      <c r="G106" t="s">
        <v>23</v>
      </c>
    </row>
    <row r="107" spans="1:7" x14ac:dyDescent="0.35">
      <c r="A107" s="1">
        <v>46121</v>
      </c>
      <c r="B107" t="s">
        <v>33</v>
      </c>
      <c r="C107" t="s">
        <v>34</v>
      </c>
      <c r="D107">
        <v>19</v>
      </c>
      <c r="E107">
        <v>30</v>
      </c>
      <c r="F107">
        <f t="shared" si="1"/>
        <v>570</v>
      </c>
      <c r="G107" t="s">
        <v>28</v>
      </c>
    </row>
    <row r="108" spans="1:7" x14ac:dyDescent="0.35">
      <c r="A108" s="1">
        <v>46122</v>
      </c>
      <c r="B108" t="s">
        <v>33</v>
      </c>
      <c r="C108" t="s">
        <v>35</v>
      </c>
      <c r="D108">
        <v>22</v>
      </c>
      <c r="E108">
        <v>50</v>
      </c>
      <c r="F108">
        <f t="shared" si="1"/>
        <v>1100</v>
      </c>
      <c r="G108" t="s">
        <v>26</v>
      </c>
    </row>
    <row r="109" spans="1:7" x14ac:dyDescent="0.35">
      <c r="A109" s="1">
        <v>46123</v>
      </c>
      <c r="B109" t="s">
        <v>36</v>
      </c>
      <c r="C109" t="s">
        <v>37</v>
      </c>
      <c r="D109">
        <v>25</v>
      </c>
      <c r="E109">
        <v>20</v>
      </c>
      <c r="F109">
        <f t="shared" si="1"/>
        <v>500</v>
      </c>
      <c r="G109" t="s">
        <v>23</v>
      </c>
    </row>
    <row r="110" spans="1:7" x14ac:dyDescent="0.35">
      <c r="A110" s="1">
        <v>46124</v>
      </c>
      <c r="B110" t="s">
        <v>36</v>
      </c>
      <c r="C110" t="s">
        <v>38</v>
      </c>
      <c r="D110">
        <v>28</v>
      </c>
      <c r="E110">
        <v>30</v>
      </c>
      <c r="F110">
        <f t="shared" si="1"/>
        <v>840</v>
      </c>
      <c r="G110" t="s">
        <v>28</v>
      </c>
    </row>
    <row r="111" spans="1:7" x14ac:dyDescent="0.35">
      <c r="A111" s="1">
        <v>46125</v>
      </c>
      <c r="B111" t="s">
        <v>39</v>
      </c>
      <c r="C111" t="s">
        <v>40</v>
      </c>
      <c r="D111">
        <v>31</v>
      </c>
      <c r="E111">
        <v>120</v>
      </c>
      <c r="F111">
        <f t="shared" si="1"/>
        <v>3720</v>
      </c>
      <c r="G111" t="s">
        <v>26</v>
      </c>
    </row>
    <row r="112" spans="1:7" x14ac:dyDescent="0.35">
      <c r="A112" s="1">
        <v>46126</v>
      </c>
      <c r="B112" t="s">
        <v>39</v>
      </c>
      <c r="C112" t="s">
        <v>41</v>
      </c>
      <c r="D112">
        <v>34</v>
      </c>
      <c r="E112">
        <v>200</v>
      </c>
      <c r="F112">
        <f t="shared" si="1"/>
        <v>6800</v>
      </c>
      <c r="G112" t="s">
        <v>23</v>
      </c>
    </row>
    <row r="113" spans="1:7" x14ac:dyDescent="0.35">
      <c r="A113" s="1">
        <v>46127</v>
      </c>
      <c r="B113" t="s">
        <v>6</v>
      </c>
      <c r="C113" t="s">
        <v>7</v>
      </c>
      <c r="D113">
        <v>37</v>
      </c>
      <c r="E113">
        <v>80</v>
      </c>
      <c r="F113">
        <f t="shared" si="1"/>
        <v>2960</v>
      </c>
      <c r="G113" t="s">
        <v>28</v>
      </c>
    </row>
    <row r="114" spans="1:7" x14ac:dyDescent="0.35">
      <c r="A114" s="1">
        <v>46128</v>
      </c>
      <c r="B114" t="s">
        <v>6</v>
      </c>
      <c r="C114" t="s">
        <v>24</v>
      </c>
      <c r="D114">
        <v>40</v>
      </c>
      <c r="E114">
        <v>50</v>
      </c>
      <c r="F114">
        <f t="shared" si="1"/>
        <v>2000</v>
      </c>
      <c r="G114" t="s">
        <v>26</v>
      </c>
    </row>
    <row r="115" spans="1:7" x14ac:dyDescent="0.35">
      <c r="A115" s="1">
        <v>46129</v>
      </c>
      <c r="B115" t="s">
        <v>6</v>
      </c>
      <c r="C115" t="s">
        <v>27</v>
      </c>
      <c r="D115">
        <v>43</v>
      </c>
      <c r="E115">
        <v>150</v>
      </c>
      <c r="F115">
        <f t="shared" si="1"/>
        <v>6450</v>
      </c>
      <c r="G115" t="s">
        <v>23</v>
      </c>
    </row>
    <row r="116" spans="1:7" x14ac:dyDescent="0.35">
      <c r="A116" s="1">
        <v>46130</v>
      </c>
      <c r="B116" t="s">
        <v>8</v>
      </c>
      <c r="C116" t="s">
        <v>9</v>
      </c>
      <c r="D116">
        <v>6</v>
      </c>
      <c r="E116">
        <v>60</v>
      </c>
      <c r="F116">
        <f t="shared" si="1"/>
        <v>360</v>
      </c>
      <c r="G116" t="s">
        <v>28</v>
      </c>
    </row>
    <row r="117" spans="1:7" x14ac:dyDescent="0.35">
      <c r="A117" s="1">
        <v>46131</v>
      </c>
      <c r="B117" t="s">
        <v>8</v>
      </c>
      <c r="C117" t="s">
        <v>29</v>
      </c>
      <c r="D117">
        <v>9</v>
      </c>
      <c r="E117">
        <v>70</v>
      </c>
      <c r="F117">
        <f t="shared" si="1"/>
        <v>630</v>
      </c>
      <c r="G117" t="s">
        <v>26</v>
      </c>
    </row>
    <row r="118" spans="1:7" x14ac:dyDescent="0.35">
      <c r="A118" s="1">
        <v>46132</v>
      </c>
      <c r="B118" t="s">
        <v>30</v>
      </c>
      <c r="C118" t="s">
        <v>31</v>
      </c>
      <c r="D118">
        <v>12</v>
      </c>
      <c r="E118">
        <v>40</v>
      </c>
      <c r="F118">
        <f t="shared" si="1"/>
        <v>480</v>
      </c>
      <c r="G118" t="s">
        <v>23</v>
      </c>
    </row>
    <row r="119" spans="1:7" x14ac:dyDescent="0.35">
      <c r="A119" s="1">
        <v>46133</v>
      </c>
      <c r="B119" t="s">
        <v>30</v>
      </c>
      <c r="C119" t="s">
        <v>32</v>
      </c>
      <c r="D119">
        <v>15</v>
      </c>
      <c r="E119">
        <v>120</v>
      </c>
      <c r="F119">
        <f t="shared" si="1"/>
        <v>1800</v>
      </c>
      <c r="G119" t="s">
        <v>28</v>
      </c>
    </row>
    <row r="120" spans="1:7" x14ac:dyDescent="0.35">
      <c r="A120" s="1">
        <v>46134</v>
      </c>
      <c r="B120" t="s">
        <v>33</v>
      </c>
      <c r="C120" t="s">
        <v>34</v>
      </c>
      <c r="D120">
        <v>18</v>
      </c>
      <c r="E120">
        <v>30</v>
      </c>
      <c r="F120">
        <f t="shared" si="1"/>
        <v>540</v>
      </c>
      <c r="G120" t="s">
        <v>26</v>
      </c>
    </row>
    <row r="121" spans="1:7" x14ac:dyDescent="0.35">
      <c r="A121" s="1">
        <v>46135</v>
      </c>
      <c r="B121" t="s">
        <v>33</v>
      </c>
      <c r="C121" t="s">
        <v>35</v>
      </c>
      <c r="D121">
        <v>21</v>
      </c>
      <c r="E121">
        <v>50</v>
      </c>
      <c r="F121">
        <f t="shared" si="1"/>
        <v>1050</v>
      </c>
      <c r="G121" t="s">
        <v>23</v>
      </c>
    </row>
    <row r="122" spans="1:7" x14ac:dyDescent="0.35">
      <c r="A122" s="1">
        <v>46136</v>
      </c>
      <c r="B122" t="s">
        <v>36</v>
      </c>
      <c r="C122" t="s">
        <v>37</v>
      </c>
      <c r="D122">
        <v>24</v>
      </c>
      <c r="E122">
        <v>20</v>
      </c>
      <c r="F122">
        <f t="shared" si="1"/>
        <v>480</v>
      </c>
      <c r="G122" t="s">
        <v>28</v>
      </c>
    </row>
    <row r="123" spans="1:7" x14ac:dyDescent="0.35">
      <c r="A123" s="1">
        <v>46137</v>
      </c>
      <c r="B123" t="s">
        <v>36</v>
      </c>
      <c r="C123" t="s">
        <v>38</v>
      </c>
      <c r="D123">
        <v>27</v>
      </c>
      <c r="E123">
        <v>30</v>
      </c>
      <c r="F123">
        <f t="shared" si="1"/>
        <v>810</v>
      </c>
      <c r="G123" t="s">
        <v>26</v>
      </c>
    </row>
    <row r="124" spans="1:7" x14ac:dyDescent="0.35">
      <c r="A124" s="1">
        <v>46138</v>
      </c>
      <c r="B124" t="s">
        <v>39</v>
      </c>
      <c r="C124" t="s">
        <v>40</v>
      </c>
      <c r="D124">
        <v>30</v>
      </c>
      <c r="E124">
        <v>120</v>
      </c>
      <c r="F124">
        <f t="shared" si="1"/>
        <v>3600</v>
      </c>
      <c r="G124" t="s">
        <v>23</v>
      </c>
    </row>
    <row r="125" spans="1:7" x14ac:dyDescent="0.35">
      <c r="A125" s="1">
        <v>46139</v>
      </c>
      <c r="B125" t="s">
        <v>39</v>
      </c>
      <c r="C125" t="s">
        <v>41</v>
      </c>
      <c r="D125">
        <v>33</v>
      </c>
      <c r="E125">
        <v>200</v>
      </c>
      <c r="F125">
        <f t="shared" si="1"/>
        <v>6600</v>
      </c>
      <c r="G125" t="s">
        <v>28</v>
      </c>
    </row>
    <row r="126" spans="1:7" x14ac:dyDescent="0.35">
      <c r="A126" s="1">
        <v>46140</v>
      </c>
      <c r="B126" t="s">
        <v>6</v>
      </c>
      <c r="C126" t="s">
        <v>7</v>
      </c>
      <c r="D126">
        <v>36</v>
      </c>
      <c r="E126">
        <v>80</v>
      </c>
      <c r="F126">
        <f t="shared" si="1"/>
        <v>2880</v>
      </c>
      <c r="G126" t="s">
        <v>26</v>
      </c>
    </row>
    <row r="127" spans="1:7" x14ac:dyDescent="0.35">
      <c r="A127" s="1">
        <v>46141</v>
      </c>
      <c r="B127" t="s">
        <v>6</v>
      </c>
      <c r="C127" t="s">
        <v>24</v>
      </c>
      <c r="D127">
        <v>39</v>
      </c>
      <c r="E127">
        <v>50</v>
      </c>
      <c r="F127">
        <f t="shared" si="1"/>
        <v>1950</v>
      </c>
      <c r="G127" t="s">
        <v>23</v>
      </c>
    </row>
    <row r="128" spans="1:7" x14ac:dyDescent="0.35">
      <c r="A128" s="1">
        <v>46142</v>
      </c>
      <c r="B128" t="s">
        <v>6</v>
      </c>
      <c r="C128" t="s">
        <v>27</v>
      </c>
      <c r="D128">
        <v>42</v>
      </c>
      <c r="E128">
        <v>150</v>
      </c>
      <c r="F128">
        <f t="shared" si="1"/>
        <v>6300</v>
      </c>
      <c r="G128" t="s">
        <v>28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3714-E9BB-417C-AD1C-5F01C6DAC968}">
  <dimension ref="A1:O54"/>
  <sheetViews>
    <sheetView topLeftCell="A8" workbookViewId="0">
      <selection activeCell="E11" sqref="E11"/>
    </sheetView>
  </sheetViews>
  <sheetFormatPr defaultRowHeight="14.5" x14ac:dyDescent="0.35"/>
  <cols>
    <col min="1" max="1" width="9.54296875" bestFit="1" customWidth="1"/>
    <col min="2" max="2" width="18.1796875" customWidth="1"/>
    <col min="3" max="3" width="27.08984375" bestFit="1" customWidth="1"/>
    <col min="4" max="4" width="9.6328125" customWidth="1"/>
    <col min="6" max="6" width="12.36328125" bestFit="1" customWidth="1"/>
    <col min="7" max="7" width="17" bestFit="1" customWidth="1"/>
    <col min="8" max="8" width="14" bestFit="1" customWidth="1"/>
    <col min="9" max="9" width="9.453125" bestFit="1" customWidth="1"/>
    <col min="10" max="10" width="6.81640625" bestFit="1" customWidth="1"/>
    <col min="11" max="11" width="7" bestFit="1" customWidth="1"/>
    <col min="12" max="12" width="7.1796875" bestFit="1" customWidth="1"/>
    <col min="13" max="13" width="9.08984375" bestFit="1" customWidth="1"/>
    <col min="14" max="14" width="7.1796875" bestFit="1" customWidth="1"/>
    <col min="15" max="15" width="10.7265625" bestFit="1" customWidth="1"/>
  </cols>
  <sheetData>
    <row r="1" spans="1:15" x14ac:dyDescent="0.35">
      <c r="A1" s="2" t="s">
        <v>0</v>
      </c>
      <c r="B1" s="2" t="s">
        <v>10</v>
      </c>
      <c r="C1" s="2" t="s">
        <v>11</v>
      </c>
      <c r="D1" s="2" t="s">
        <v>12</v>
      </c>
    </row>
    <row r="2" spans="1:15" x14ac:dyDescent="0.35">
      <c r="A2" s="1">
        <v>46023</v>
      </c>
      <c r="B2" t="s">
        <v>13</v>
      </c>
      <c r="C2" t="s">
        <v>42</v>
      </c>
      <c r="D2" s="3">
        <v>45000</v>
      </c>
    </row>
    <row r="3" spans="1:15" x14ac:dyDescent="0.35">
      <c r="A3" s="1">
        <v>46025</v>
      </c>
      <c r="B3" t="s">
        <v>43</v>
      </c>
      <c r="C3" t="s">
        <v>44</v>
      </c>
      <c r="D3">
        <v>8500</v>
      </c>
      <c r="G3" t="s">
        <v>103</v>
      </c>
      <c r="H3" s="3">
        <f>SUM(D2:D54)</f>
        <v>942900</v>
      </c>
    </row>
    <row r="4" spans="1:15" x14ac:dyDescent="0.35">
      <c r="A4" s="1">
        <v>46027</v>
      </c>
      <c r="B4" t="s">
        <v>45</v>
      </c>
      <c r="C4" t="s">
        <v>46</v>
      </c>
      <c r="D4">
        <v>7200</v>
      </c>
    </row>
    <row r="5" spans="1:15" x14ac:dyDescent="0.35">
      <c r="A5" s="1">
        <v>46029</v>
      </c>
      <c r="B5" t="s">
        <v>47</v>
      </c>
      <c r="C5" t="s">
        <v>48</v>
      </c>
      <c r="D5">
        <v>28000</v>
      </c>
    </row>
    <row r="6" spans="1:15" x14ac:dyDescent="0.35">
      <c r="A6" s="1">
        <v>46031</v>
      </c>
      <c r="B6" t="s">
        <v>49</v>
      </c>
      <c r="C6" t="s">
        <v>50</v>
      </c>
      <c r="D6">
        <v>65000</v>
      </c>
      <c r="H6" s="4" t="s">
        <v>106</v>
      </c>
    </row>
    <row r="7" spans="1:15" x14ac:dyDescent="0.35">
      <c r="A7" s="1">
        <v>46033</v>
      </c>
      <c r="B7" t="s">
        <v>51</v>
      </c>
      <c r="C7" t="s">
        <v>52</v>
      </c>
      <c r="D7">
        <v>4500</v>
      </c>
      <c r="H7" t="s">
        <v>47</v>
      </c>
      <c r="I7" t="s">
        <v>51</v>
      </c>
      <c r="J7" t="s">
        <v>13</v>
      </c>
      <c r="K7" t="s">
        <v>53</v>
      </c>
      <c r="L7" t="s">
        <v>49</v>
      </c>
      <c r="M7" t="s">
        <v>45</v>
      </c>
      <c r="N7" t="s">
        <v>43</v>
      </c>
      <c r="O7" t="s">
        <v>100</v>
      </c>
    </row>
    <row r="8" spans="1:15" x14ac:dyDescent="0.35">
      <c r="A8" s="1">
        <v>46035</v>
      </c>
      <c r="B8" t="s">
        <v>53</v>
      </c>
      <c r="C8" t="s">
        <v>54</v>
      </c>
      <c r="D8">
        <v>6200</v>
      </c>
      <c r="G8" t="s">
        <v>107</v>
      </c>
      <c r="H8">
        <v>251500</v>
      </c>
      <c r="I8">
        <v>44100</v>
      </c>
      <c r="J8">
        <v>180000</v>
      </c>
      <c r="K8">
        <v>46900</v>
      </c>
      <c r="L8">
        <v>281500</v>
      </c>
      <c r="M8">
        <v>85800</v>
      </c>
      <c r="N8">
        <v>53100</v>
      </c>
      <c r="O8">
        <v>942900</v>
      </c>
    </row>
    <row r="9" spans="1:15" x14ac:dyDescent="0.35">
      <c r="A9" s="1">
        <v>46037</v>
      </c>
      <c r="B9" t="s">
        <v>45</v>
      </c>
      <c r="C9" t="s">
        <v>46</v>
      </c>
      <c r="D9">
        <v>7600</v>
      </c>
    </row>
    <row r="10" spans="1:15" x14ac:dyDescent="0.35">
      <c r="A10" s="1">
        <v>46039</v>
      </c>
      <c r="B10" t="s">
        <v>47</v>
      </c>
      <c r="C10" t="s">
        <v>55</v>
      </c>
      <c r="D10">
        <v>24000</v>
      </c>
    </row>
    <row r="11" spans="1:15" x14ac:dyDescent="0.35">
      <c r="A11" s="1">
        <v>46041</v>
      </c>
      <c r="B11" t="s">
        <v>43</v>
      </c>
      <c r="C11" t="s">
        <v>56</v>
      </c>
      <c r="D11">
        <v>3200</v>
      </c>
    </row>
    <row r="12" spans="1:15" x14ac:dyDescent="0.35">
      <c r="A12" s="1">
        <v>46043</v>
      </c>
      <c r="B12" t="s">
        <v>51</v>
      </c>
      <c r="C12" t="s">
        <v>57</v>
      </c>
      <c r="D12">
        <v>3500</v>
      </c>
    </row>
    <row r="13" spans="1:15" x14ac:dyDescent="0.35">
      <c r="A13" s="1">
        <v>46045</v>
      </c>
      <c r="B13" t="s">
        <v>45</v>
      </c>
      <c r="C13" t="s">
        <v>46</v>
      </c>
      <c r="D13">
        <v>7400</v>
      </c>
    </row>
    <row r="14" spans="1:15" x14ac:dyDescent="0.35">
      <c r="A14" s="1">
        <v>46047</v>
      </c>
      <c r="B14" t="s">
        <v>47</v>
      </c>
      <c r="C14" t="s">
        <v>58</v>
      </c>
      <c r="D14">
        <v>18000</v>
      </c>
    </row>
    <row r="15" spans="1:15" x14ac:dyDescent="0.35">
      <c r="A15" s="1">
        <v>46049</v>
      </c>
      <c r="B15" t="s">
        <v>53</v>
      </c>
      <c r="C15" t="s">
        <v>59</v>
      </c>
      <c r="D15">
        <v>4100</v>
      </c>
    </row>
    <row r="16" spans="1:15" x14ac:dyDescent="0.35">
      <c r="A16" s="1">
        <v>46051</v>
      </c>
      <c r="B16" t="s">
        <v>43</v>
      </c>
      <c r="C16" t="s">
        <v>60</v>
      </c>
      <c r="D16">
        <v>2800</v>
      </c>
    </row>
    <row r="17" spans="1:4" x14ac:dyDescent="0.35">
      <c r="A17" s="1">
        <v>46053</v>
      </c>
      <c r="B17" t="s">
        <v>49</v>
      </c>
      <c r="C17" t="s">
        <v>61</v>
      </c>
      <c r="D17">
        <v>8500</v>
      </c>
    </row>
    <row r="18" spans="1:4" x14ac:dyDescent="0.35">
      <c r="A18" s="1">
        <v>46054</v>
      </c>
      <c r="B18" t="s">
        <v>13</v>
      </c>
      <c r="C18" t="s">
        <v>42</v>
      </c>
      <c r="D18">
        <v>45000</v>
      </c>
    </row>
    <row r="19" spans="1:4" x14ac:dyDescent="0.35">
      <c r="A19" s="1">
        <v>46056</v>
      </c>
      <c r="B19" t="s">
        <v>43</v>
      </c>
      <c r="C19" t="s">
        <v>44</v>
      </c>
      <c r="D19">
        <v>8900</v>
      </c>
    </row>
    <row r="20" spans="1:4" x14ac:dyDescent="0.35">
      <c r="A20" s="1">
        <v>46058</v>
      </c>
      <c r="B20" t="s">
        <v>45</v>
      </c>
      <c r="C20" t="s">
        <v>46</v>
      </c>
      <c r="D20">
        <v>7800</v>
      </c>
    </row>
    <row r="21" spans="1:4" x14ac:dyDescent="0.35">
      <c r="A21" s="1">
        <v>46060</v>
      </c>
      <c r="B21" t="s">
        <v>47</v>
      </c>
      <c r="C21" t="s">
        <v>62</v>
      </c>
      <c r="D21">
        <v>26000</v>
      </c>
    </row>
    <row r="22" spans="1:4" x14ac:dyDescent="0.35">
      <c r="A22" s="1">
        <v>46062</v>
      </c>
      <c r="B22" t="s">
        <v>49</v>
      </c>
      <c r="C22" t="s">
        <v>50</v>
      </c>
      <c r="D22">
        <v>65000</v>
      </c>
    </row>
    <row r="23" spans="1:4" x14ac:dyDescent="0.35">
      <c r="A23" s="1">
        <v>46064</v>
      </c>
      <c r="B23" t="s">
        <v>51</v>
      </c>
      <c r="C23" t="s">
        <v>63</v>
      </c>
      <c r="D23">
        <v>5000</v>
      </c>
    </row>
    <row r="24" spans="1:4" x14ac:dyDescent="0.35">
      <c r="A24" s="1">
        <v>46066</v>
      </c>
      <c r="B24" t="s">
        <v>53</v>
      </c>
      <c r="C24" t="s">
        <v>64</v>
      </c>
      <c r="D24">
        <v>5800</v>
      </c>
    </row>
    <row r="25" spans="1:4" x14ac:dyDescent="0.35">
      <c r="A25" s="1">
        <v>46068</v>
      </c>
      <c r="B25" t="s">
        <v>45</v>
      </c>
      <c r="C25" t="s">
        <v>46</v>
      </c>
      <c r="D25">
        <v>8200</v>
      </c>
    </row>
    <row r="26" spans="1:4" x14ac:dyDescent="0.35">
      <c r="A26" s="1">
        <v>46070</v>
      </c>
      <c r="B26" t="s">
        <v>47</v>
      </c>
      <c r="C26" t="s">
        <v>65</v>
      </c>
      <c r="D26">
        <v>19500</v>
      </c>
    </row>
    <row r="27" spans="1:4" x14ac:dyDescent="0.35">
      <c r="A27" s="1">
        <v>46072</v>
      </c>
      <c r="B27" t="s">
        <v>43</v>
      </c>
      <c r="C27" t="s">
        <v>56</v>
      </c>
      <c r="D27">
        <v>3400</v>
      </c>
    </row>
    <row r="28" spans="1:4" x14ac:dyDescent="0.35">
      <c r="A28" s="1">
        <v>46074</v>
      </c>
      <c r="B28" t="s">
        <v>51</v>
      </c>
      <c r="C28" t="s">
        <v>66</v>
      </c>
      <c r="D28">
        <v>6200</v>
      </c>
    </row>
    <row r="29" spans="1:4" x14ac:dyDescent="0.35">
      <c r="A29" s="1">
        <v>46076</v>
      </c>
      <c r="B29" t="s">
        <v>45</v>
      </c>
      <c r="C29" t="s">
        <v>46</v>
      </c>
      <c r="D29">
        <v>7900</v>
      </c>
    </row>
    <row r="30" spans="1:4" x14ac:dyDescent="0.35">
      <c r="A30" s="1">
        <v>46078</v>
      </c>
      <c r="B30" t="s">
        <v>47</v>
      </c>
      <c r="C30" t="s">
        <v>67</v>
      </c>
      <c r="D30">
        <v>22500</v>
      </c>
    </row>
    <row r="31" spans="1:4" x14ac:dyDescent="0.35">
      <c r="A31" s="1">
        <v>46080</v>
      </c>
      <c r="B31" t="s">
        <v>53</v>
      </c>
      <c r="C31" t="s">
        <v>68</v>
      </c>
      <c r="D31">
        <v>4600</v>
      </c>
    </row>
    <row r="32" spans="1:4" x14ac:dyDescent="0.35">
      <c r="A32" s="1">
        <v>46082</v>
      </c>
      <c r="B32" t="s">
        <v>13</v>
      </c>
      <c r="C32" t="s">
        <v>42</v>
      </c>
      <c r="D32">
        <v>45000</v>
      </c>
    </row>
    <row r="33" spans="1:8" x14ac:dyDescent="0.35">
      <c r="A33" s="1">
        <v>46084</v>
      </c>
      <c r="B33" t="s">
        <v>43</v>
      </c>
      <c r="C33" t="s">
        <v>44</v>
      </c>
      <c r="D33">
        <v>9400</v>
      </c>
    </row>
    <row r="34" spans="1:8" x14ac:dyDescent="0.35">
      <c r="A34" s="1">
        <v>46086</v>
      </c>
      <c r="B34" t="s">
        <v>45</v>
      </c>
      <c r="C34" t="s">
        <v>46</v>
      </c>
      <c r="D34">
        <v>9100</v>
      </c>
    </row>
    <row r="35" spans="1:8" x14ac:dyDescent="0.35">
      <c r="A35" s="1">
        <v>46088</v>
      </c>
      <c r="B35" t="s">
        <v>47</v>
      </c>
      <c r="C35" t="s">
        <v>48</v>
      </c>
      <c r="D35">
        <v>31000</v>
      </c>
    </row>
    <row r="36" spans="1:8" x14ac:dyDescent="0.35">
      <c r="A36" s="1">
        <v>46090</v>
      </c>
      <c r="B36" t="s">
        <v>49</v>
      </c>
      <c r="C36" t="s">
        <v>50</v>
      </c>
      <c r="D36">
        <v>65000</v>
      </c>
    </row>
    <row r="37" spans="1:8" x14ac:dyDescent="0.35">
      <c r="A37" s="1">
        <v>46092</v>
      </c>
      <c r="B37" t="s">
        <v>51</v>
      </c>
      <c r="C37" t="s">
        <v>69</v>
      </c>
      <c r="D37">
        <v>8500</v>
      </c>
    </row>
    <row r="38" spans="1:8" x14ac:dyDescent="0.35">
      <c r="A38" s="1">
        <v>46094</v>
      </c>
      <c r="B38" t="s">
        <v>53</v>
      </c>
      <c r="C38" t="s">
        <v>70</v>
      </c>
      <c r="D38">
        <v>9800</v>
      </c>
    </row>
    <row r="39" spans="1:8" x14ac:dyDescent="0.35">
      <c r="A39" s="1">
        <v>46096</v>
      </c>
      <c r="B39" t="s">
        <v>45</v>
      </c>
      <c r="C39" t="s">
        <v>46</v>
      </c>
      <c r="D39">
        <v>9600</v>
      </c>
    </row>
    <row r="40" spans="1:8" x14ac:dyDescent="0.35">
      <c r="A40" s="1">
        <v>46098</v>
      </c>
      <c r="B40" t="s">
        <v>47</v>
      </c>
      <c r="C40" t="s">
        <v>55</v>
      </c>
      <c r="D40">
        <v>27500</v>
      </c>
    </row>
    <row r="41" spans="1:8" x14ac:dyDescent="0.35">
      <c r="A41" s="1">
        <v>46100</v>
      </c>
      <c r="B41" t="s">
        <v>43</v>
      </c>
      <c r="C41" t="s">
        <v>56</v>
      </c>
      <c r="D41">
        <v>3600</v>
      </c>
    </row>
    <row r="42" spans="1:8" x14ac:dyDescent="0.35">
      <c r="A42" s="1">
        <v>46102</v>
      </c>
      <c r="B42" t="s">
        <v>51</v>
      </c>
      <c r="C42" t="s">
        <v>71</v>
      </c>
      <c r="D42">
        <v>7200</v>
      </c>
    </row>
    <row r="43" spans="1:8" x14ac:dyDescent="0.35">
      <c r="A43" s="1">
        <v>46104</v>
      </c>
      <c r="B43" t="s">
        <v>45</v>
      </c>
      <c r="C43" t="s">
        <v>46</v>
      </c>
      <c r="D43">
        <v>10200</v>
      </c>
    </row>
    <row r="44" spans="1:8" x14ac:dyDescent="0.35">
      <c r="A44" s="1">
        <v>46106</v>
      </c>
      <c r="B44" t="s">
        <v>47</v>
      </c>
      <c r="C44" t="s">
        <v>58</v>
      </c>
      <c r="D44">
        <v>21000</v>
      </c>
    </row>
    <row r="45" spans="1:8" x14ac:dyDescent="0.35">
      <c r="A45" s="1">
        <v>46108</v>
      </c>
      <c r="B45" t="s">
        <v>53</v>
      </c>
      <c r="C45" t="s">
        <v>72</v>
      </c>
      <c r="D45">
        <v>3900</v>
      </c>
      <c r="G45" s="4" t="s">
        <v>99</v>
      </c>
      <c r="H45" t="s">
        <v>107</v>
      </c>
    </row>
    <row r="46" spans="1:8" x14ac:dyDescent="0.35">
      <c r="A46" s="1">
        <v>46110</v>
      </c>
      <c r="B46" t="s">
        <v>43</v>
      </c>
      <c r="C46" t="s">
        <v>60</v>
      </c>
      <c r="D46">
        <v>3200</v>
      </c>
      <c r="G46" s="5" t="s">
        <v>47</v>
      </c>
      <c r="H46">
        <v>251500</v>
      </c>
    </row>
    <row r="47" spans="1:8" x14ac:dyDescent="0.35">
      <c r="A47" s="1">
        <v>46112</v>
      </c>
      <c r="B47" t="s">
        <v>49</v>
      </c>
      <c r="C47" t="s">
        <v>61</v>
      </c>
      <c r="D47">
        <v>11000</v>
      </c>
      <c r="G47" s="5" t="s">
        <v>51</v>
      </c>
      <c r="H47">
        <v>44100</v>
      </c>
    </row>
    <row r="48" spans="1:8" x14ac:dyDescent="0.35">
      <c r="A48" s="1">
        <v>46113</v>
      </c>
      <c r="B48" t="s">
        <v>13</v>
      </c>
      <c r="C48" t="s">
        <v>42</v>
      </c>
      <c r="D48">
        <v>45000</v>
      </c>
      <c r="G48" s="5" t="s">
        <v>13</v>
      </c>
      <c r="H48">
        <v>180000</v>
      </c>
    </row>
    <row r="49" spans="1:8" x14ac:dyDescent="0.35">
      <c r="A49" s="1">
        <v>46117</v>
      </c>
      <c r="B49" t="s">
        <v>45</v>
      </c>
      <c r="C49" t="s">
        <v>46</v>
      </c>
      <c r="D49">
        <v>10800</v>
      </c>
      <c r="G49" s="5" t="s">
        <v>53</v>
      </c>
      <c r="H49">
        <v>46900</v>
      </c>
    </row>
    <row r="50" spans="1:8" x14ac:dyDescent="0.35">
      <c r="A50" s="1">
        <v>46122</v>
      </c>
      <c r="B50" t="s">
        <v>51</v>
      </c>
      <c r="C50" t="s">
        <v>73</v>
      </c>
      <c r="D50">
        <v>9200</v>
      </c>
      <c r="G50" s="5" t="s">
        <v>49</v>
      </c>
      <c r="H50">
        <v>281500</v>
      </c>
    </row>
    <row r="51" spans="1:8" x14ac:dyDescent="0.35">
      <c r="A51" s="1">
        <v>46127</v>
      </c>
      <c r="B51" t="s">
        <v>47</v>
      </c>
      <c r="C51" t="s">
        <v>74</v>
      </c>
      <c r="D51">
        <v>34000</v>
      </c>
      <c r="G51" s="5" t="s">
        <v>45</v>
      </c>
      <c r="H51">
        <v>85800</v>
      </c>
    </row>
    <row r="52" spans="1:8" x14ac:dyDescent="0.35">
      <c r="A52" s="1">
        <v>46132</v>
      </c>
      <c r="B52" t="s">
        <v>53</v>
      </c>
      <c r="C52" t="s">
        <v>75</v>
      </c>
      <c r="D52">
        <v>12500</v>
      </c>
      <c r="G52" s="5" t="s">
        <v>43</v>
      </c>
      <c r="H52">
        <v>53100</v>
      </c>
    </row>
    <row r="53" spans="1:8" x14ac:dyDescent="0.35">
      <c r="A53" s="1">
        <v>46137</v>
      </c>
      <c r="B53" t="s">
        <v>43</v>
      </c>
      <c r="C53" t="s">
        <v>44</v>
      </c>
      <c r="D53">
        <v>10100</v>
      </c>
      <c r="G53" s="5" t="s">
        <v>100</v>
      </c>
      <c r="H53">
        <v>942900</v>
      </c>
    </row>
    <row r="54" spans="1:8" x14ac:dyDescent="0.35">
      <c r="A54" s="1">
        <v>46142</v>
      </c>
      <c r="B54" t="s">
        <v>49</v>
      </c>
      <c r="C54" t="s">
        <v>50</v>
      </c>
      <c r="D54">
        <v>67000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A503-51AA-4B79-AB8A-98A3039AD915}">
  <dimension ref="A1:H61"/>
  <sheetViews>
    <sheetView workbookViewId="0">
      <selection activeCell="L3" sqref="L3"/>
    </sheetView>
  </sheetViews>
  <sheetFormatPr defaultRowHeight="14.5" x14ac:dyDescent="0.35"/>
  <cols>
    <col min="1" max="1" width="9.54296875" bestFit="1" customWidth="1"/>
    <col min="2" max="3" width="15.36328125" customWidth="1"/>
    <col min="4" max="4" width="13.81640625" customWidth="1"/>
    <col min="5" max="5" width="11.7265625" customWidth="1"/>
    <col min="6" max="6" width="14.26953125" customWidth="1"/>
    <col min="7" max="7" width="14.7265625" customWidth="1"/>
    <col min="8" max="8" width="14.54296875" bestFit="1" customWidth="1"/>
  </cols>
  <sheetData>
    <row r="1" spans="1:8" x14ac:dyDescent="0.35">
      <c r="A1" s="2" t="s">
        <v>0</v>
      </c>
      <c r="B1" s="2" t="s">
        <v>2</v>
      </c>
      <c r="C1" s="2" t="s">
        <v>14</v>
      </c>
      <c r="D1" s="2" t="s">
        <v>15</v>
      </c>
      <c r="E1" s="2" t="s">
        <v>3</v>
      </c>
      <c r="F1" s="2" t="s">
        <v>16</v>
      </c>
      <c r="G1" s="2" t="s">
        <v>17</v>
      </c>
      <c r="H1" s="2" t="s">
        <v>104</v>
      </c>
    </row>
    <row r="2" spans="1:8" x14ac:dyDescent="0.35">
      <c r="A2" s="1">
        <v>46023</v>
      </c>
      <c r="B2" t="s">
        <v>7</v>
      </c>
      <c r="C2">
        <v>120</v>
      </c>
      <c r="D2">
        <v>50</v>
      </c>
      <c r="E2">
        <v>35</v>
      </c>
      <c r="F2">
        <f>SUM(C2,D2)-E2</f>
        <v>135</v>
      </c>
      <c r="G2">
        <v>40</v>
      </c>
      <c r="H2" t="str">
        <f>IF(F2&lt;=G2, "Reorder Needed", "Ok")</f>
        <v>Ok</v>
      </c>
    </row>
    <row r="3" spans="1:8" x14ac:dyDescent="0.35">
      <c r="A3" s="1">
        <v>46025</v>
      </c>
      <c r="B3" t="s">
        <v>24</v>
      </c>
      <c r="C3">
        <v>100</v>
      </c>
      <c r="D3">
        <v>40</v>
      </c>
      <c r="E3">
        <v>28</v>
      </c>
      <c r="F3">
        <f>SUM(C3,D3)-E3</f>
        <v>112</v>
      </c>
      <c r="G3">
        <v>35</v>
      </c>
      <c r="H3" t="str">
        <f t="shared" ref="H3:H61" si="0">IF(F3&lt;=G3, "Reorder Needed", "Ok")</f>
        <v>Ok</v>
      </c>
    </row>
    <row r="4" spans="1:8" x14ac:dyDescent="0.35">
      <c r="A4" s="1">
        <v>46027</v>
      </c>
      <c r="B4" t="s">
        <v>27</v>
      </c>
      <c r="C4">
        <v>80</v>
      </c>
      <c r="D4">
        <v>30</v>
      </c>
      <c r="E4">
        <v>22</v>
      </c>
      <c r="F4">
        <f t="shared" ref="F4:F61" si="1">SUM(C4,D4)-E4</f>
        <v>88</v>
      </c>
      <c r="G4">
        <v>25</v>
      </c>
      <c r="H4" t="str">
        <f t="shared" si="0"/>
        <v>Ok</v>
      </c>
    </row>
    <row r="5" spans="1:8" x14ac:dyDescent="0.35">
      <c r="A5" s="1">
        <v>46029</v>
      </c>
      <c r="B5" t="s">
        <v>9</v>
      </c>
      <c r="C5">
        <v>90</v>
      </c>
      <c r="D5">
        <v>35</v>
      </c>
      <c r="E5">
        <v>30</v>
      </c>
      <c r="F5">
        <f t="shared" si="1"/>
        <v>95</v>
      </c>
      <c r="G5">
        <v>30</v>
      </c>
      <c r="H5" t="str">
        <f t="shared" si="0"/>
        <v>Ok</v>
      </c>
    </row>
    <row r="6" spans="1:8" x14ac:dyDescent="0.35">
      <c r="A6" s="1">
        <v>46031</v>
      </c>
      <c r="B6" t="s">
        <v>29</v>
      </c>
      <c r="C6">
        <v>75</v>
      </c>
      <c r="D6">
        <v>25</v>
      </c>
      <c r="E6">
        <v>18</v>
      </c>
      <c r="F6">
        <f t="shared" si="1"/>
        <v>82</v>
      </c>
      <c r="G6">
        <v>20</v>
      </c>
      <c r="H6" t="str">
        <f t="shared" si="0"/>
        <v>Ok</v>
      </c>
    </row>
    <row r="7" spans="1:8" x14ac:dyDescent="0.35">
      <c r="A7" s="1">
        <v>46033</v>
      </c>
      <c r="B7" t="s">
        <v>31</v>
      </c>
      <c r="C7">
        <v>110</v>
      </c>
      <c r="D7">
        <v>45</v>
      </c>
      <c r="E7">
        <v>26</v>
      </c>
      <c r="F7">
        <f t="shared" si="1"/>
        <v>129</v>
      </c>
      <c r="G7">
        <v>35</v>
      </c>
      <c r="H7" t="str">
        <f t="shared" si="0"/>
        <v>Ok</v>
      </c>
    </row>
    <row r="8" spans="1:8" x14ac:dyDescent="0.35">
      <c r="A8" s="1">
        <v>46035</v>
      </c>
      <c r="B8" t="s">
        <v>32</v>
      </c>
      <c r="C8">
        <v>70</v>
      </c>
      <c r="D8">
        <v>20</v>
      </c>
      <c r="E8">
        <v>15</v>
      </c>
      <c r="F8">
        <f t="shared" si="1"/>
        <v>75</v>
      </c>
      <c r="G8">
        <v>80</v>
      </c>
      <c r="H8" t="str">
        <f t="shared" si="0"/>
        <v>Reorder Needed</v>
      </c>
    </row>
    <row r="9" spans="1:8" x14ac:dyDescent="0.35">
      <c r="A9" s="1">
        <v>46037</v>
      </c>
      <c r="B9" t="s">
        <v>34</v>
      </c>
      <c r="C9">
        <v>95</v>
      </c>
      <c r="D9">
        <v>30</v>
      </c>
      <c r="E9">
        <v>24</v>
      </c>
      <c r="F9">
        <f t="shared" si="1"/>
        <v>101</v>
      </c>
      <c r="G9">
        <v>30</v>
      </c>
      <c r="H9" t="str">
        <f t="shared" si="0"/>
        <v>Ok</v>
      </c>
    </row>
    <row r="10" spans="1:8" x14ac:dyDescent="0.35">
      <c r="A10" s="1">
        <v>46039</v>
      </c>
      <c r="B10" t="s">
        <v>35</v>
      </c>
      <c r="C10">
        <v>85</v>
      </c>
      <c r="D10">
        <v>25</v>
      </c>
      <c r="E10">
        <v>20</v>
      </c>
      <c r="F10">
        <f t="shared" si="1"/>
        <v>90</v>
      </c>
      <c r="G10">
        <v>25</v>
      </c>
      <c r="H10" t="str">
        <f t="shared" si="0"/>
        <v>Ok</v>
      </c>
    </row>
    <row r="11" spans="1:8" x14ac:dyDescent="0.35">
      <c r="A11" s="1">
        <v>46041</v>
      </c>
      <c r="B11" t="s">
        <v>37</v>
      </c>
      <c r="C11">
        <v>130</v>
      </c>
      <c r="D11">
        <v>40</v>
      </c>
      <c r="E11">
        <v>38</v>
      </c>
      <c r="F11">
        <f t="shared" si="1"/>
        <v>132</v>
      </c>
      <c r="G11">
        <v>150</v>
      </c>
      <c r="H11" t="str">
        <f t="shared" si="0"/>
        <v>Reorder Needed</v>
      </c>
    </row>
    <row r="12" spans="1:8" x14ac:dyDescent="0.35">
      <c r="A12" s="1">
        <v>46043</v>
      </c>
      <c r="B12" t="s">
        <v>38</v>
      </c>
      <c r="C12">
        <v>125</v>
      </c>
      <c r="D12">
        <v>35</v>
      </c>
      <c r="E12">
        <v>34</v>
      </c>
      <c r="F12">
        <f t="shared" si="1"/>
        <v>126</v>
      </c>
      <c r="G12">
        <v>45</v>
      </c>
      <c r="H12" t="str">
        <f t="shared" si="0"/>
        <v>Ok</v>
      </c>
    </row>
    <row r="13" spans="1:8" x14ac:dyDescent="0.35">
      <c r="A13" s="1">
        <v>46045</v>
      </c>
      <c r="B13" t="s">
        <v>40</v>
      </c>
      <c r="C13">
        <v>60</v>
      </c>
      <c r="D13">
        <v>20</v>
      </c>
      <c r="E13">
        <v>12</v>
      </c>
      <c r="F13">
        <f t="shared" si="1"/>
        <v>68</v>
      </c>
      <c r="G13">
        <v>15</v>
      </c>
      <c r="H13" t="str">
        <f t="shared" si="0"/>
        <v>Ok</v>
      </c>
    </row>
    <row r="14" spans="1:8" x14ac:dyDescent="0.35">
      <c r="A14" s="1">
        <v>46047</v>
      </c>
      <c r="B14" t="s">
        <v>41</v>
      </c>
      <c r="C14">
        <v>50</v>
      </c>
      <c r="D14">
        <v>15</v>
      </c>
      <c r="E14">
        <v>10</v>
      </c>
      <c r="F14">
        <f t="shared" si="1"/>
        <v>55</v>
      </c>
      <c r="G14">
        <v>12</v>
      </c>
      <c r="H14" t="str">
        <f t="shared" si="0"/>
        <v>Ok</v>
      </c>
    </row>
    <row r="15" spans="1:8" x14ac:dyDescent="0.35">
      <c r="A15" s="1">
        <v>46049</v>
      </c>
      <c r="B15" t="s">
        <v>7</v>
      </c>
      <c r="C15">
        <v>135</v>
      </c>
      <c r="D15">
        <v>40</v>
      </c>
      <c r="E15">
        <v>42</v>
      </c>
      <c r="F15">
        <f t="shared" si="1"/>
        <v>133</v>
      </c>
      <c r="G15">
        <v>40</v>
      </c>
      <c r="H15" t="str">
        <f t="shared" si="0"/>
        <v>Ok</v>
      </c>
    </row>
    <row r="16" spans="1:8" x14ac:dyDescent="0.35">
      <c r="A16" s="1">
        <v>46051</v>
      </c>
      <c r="B16" t="s">
        <v>24</v>
      </c>
      <c r="C16">
        <v>112</v>
      </c>
      <c r="D16">
        <v>30</v>
      </c>
      <c r="E16">
        <v>26</v>
      </c>
      <c r="F16">
        <f t="shared" si="1"/>
        <v>116</v>
      </c>
      <c r="G16">
        <v>35</v>
      </c>
      <c r="H16" t="str">
        <f t="shared" si="0"/>
        <v>Ok</v>
      </c>
    </row>
    <row r="17" spans="1:8" x14ac:dyDescent="0.35">
      <c r="A17" s="1">
        <v>46053</v>
      </c>
      <c r="B17" t="s">
        <v>9</v>
      </c>
      <c r="C17">
        <v>95</v>
      </c>
      <c r="D17">
        <v>25</v>
      </c>
      <c r="E17">
        <v>24</v>
      </c>
      <c r="F17">
        <f t="shared" si="1"/>
        <v>96</v>
      </c>
      <c r="G17">
        <v>30</v>
      </c>
      <c r="H17" t="str">
        <f t="shared" si="0"/>
        <v>Ok</v>
      </c>
    </row>
    <row r="18" spans="1:8" x14ac:dyDescent="0.35">
      <c r="A18" s="1">
        <v>46055</v>
      </c>
      <c r="B18" t="s">
        <v>29</v>
      </c>
      <c r="C18">
        <v>82</v>
      </c>
      <c r="D18">
        <v>20</v>
      </c>
      <c r="E18">
        <v>19</v>
      </c>
      <c r="F18">
        <f t="shared" si="1"/>
        <v>83</v>
      </c>
      <c r="G18">
        <v>20</v>
      </c>
      <c r="H18" t="str">
        <f t="shared" si="0"/>
        <v>Ok</v>
      </c>
    </row>
    <row r="19" spans="1:8" x14ac:dyDescent="0.35">
      <c r="A19" s="1">
        <v>46057</v>
      </c>
      <c r="B19" t="s">
        <v>31</v>
      </c>
      <c r="C19">
        <v>129</v>
      </c>
      <c r="D19">
        <v>35</v>
      </c>
      <c r="E19">
        <v>28</v>
      </c>
      <c r="F19">
        <f t="shared" si="1"/>
        <v>136</v>
      </c>
      <c r="G19">
        <v>35</v>
      </c>
      <c r="H19" t="str">
        <f t="shared" si="0"/>
        <v>Ok</v>
      </c>
    </row>
    <row r="20" spans="1:8" x14ac:dyDescent="0.35">
      <c r="A20" s="1">
        <v>46059</v>
      </c>
      <c r="B20" t="s">
        <v>32</v>
      </c>
      <c r="C20">
        <v>75</v>
      </c>
      <c r="D20">
        <v>18</v>
      </c>
      <c r="E20">
        <v>16</v>
      </c>
      <c r="F20">
        <f t="shared" si="1"/>
        <v>77</v>
      </c>
      <c r="G20">
        <v>20</v>
      </c>
      <c r="H20" t="str">
        <f t="shared" si="0"/>
        <v>Ok</v>
      </c>
    </row>
    <row r="21" spans="1:8" x14ac:dyDescent="0.35">
      <c r="A21" s="1">
        <v>46061</v>
      </c>
      <c r="B21" t="s">
        <v>34</v>
      </c>
      <c r="C21">
        <v>101</v>
      </c>
      <c r="D21">
        <v>28</v>
      </c>
      <c r="E21">
        <v>25</v>
      </c>
      <c r="F21">
        <f t="shared" si="1"/>
        <v>104</v>
      </c>
      <c r="G21">
        <v>30</v>
      </c>
      <c r="H21" t="str">
        <f t="shared" si="0"/>
        <v>Ok</v>
      </c>
    </row>
    <row r="22" spans="1:8" x14ac:dyDescent="0.35">
      <c r="A22" s="1">
        <v>46063</v>
      </c>
      <c r="B22" t="s">
        <v>35</v>
      </c>
      <c r="C22">
        <v>90</v>
      </c>
      <c r="D22">
        <v>20</v>
      </c>
      <c r="E22">
        <v>23</v>
      </c>
      <c r="F22">
        <f t="shared" si="1"/>
        <v>87</v>
      </c>
      <c r="G22">
        <v>25</v>
      </c>
      <c r="H22" t="str">
        <f t="shared" si="0"/>
        <v>Ok</v>
      </c>
    </row>
    <row r="23" spans="1:8" x14ac:dyDescent="0.35">
      <c r="A23" s="1">
        <v>46065</v>
      </c>
      <c r="B23" t="s">
        <v>37</v>
      </c>
      <c r="C23">
        <v>132</v>
      </c>
      <c r="D23">
        <v>35</v>
      </c>
      <c r="E23">
        <v>40</v>
      </c>
      <c r="F23">
        <f t="shared" si="1"/>
        <v>127</v>
      </c>
      <c r="G23">
        <v>50</v>
      </c>
      <c r="H23" t="str">
        <f t="shared" si="0"/>
        <v>Ok</v>
      </c>
    </row>
    <row r="24" spans="1:8" x14ac:dyDescent="0.35">
      <c r="A24" s="1">
        <v>46067</v>
      </c>
      <c r="B24" t="s">
        <v>38</v>
      </c>
      <c r="C24">
        <v>126</v>
      </c>
      <c r="D24">
        <v>30</v>
      </c>
      <c r="E24">
        <v>36</v>
      </c>
      <c r="F24">
        <f t="shared" si="1"/>
        <v>120</v>
      </c>
      <c r="G24">
        <v>45</v>
      </c>
      <c r="H24" t="str">
        <f t="shared" si="0"/>
        <v>Ok</v>
      </c>
    </row>
    <row r="25" spans="1:8" x14ac:dyDescent="0.35">
      <c r="A25" s="1">
        <v>46069</v>
      </c>
      <c r="B25" t="s">
        <v>40</v>
      </c>
      <c r="C25">
        <v>68</v>
      </c>
      <c r="D25">
        <v>18</v>
      </c>
      <c r="E25">
        <v>14</v>
      </c>
      <c r="F25">
        <f t="shared" si="1"/>
        <v>72</v>
      </c>
      <c r="G25">
        <v>15</v>
      </c>
      <c r="H25" t="str">
        <f t="shared" si="0"/>
        <v>Ok</v>
      </c>
    </row>
    <row r="26" spans="1:8" x14ac:dyDescent="0.35">
      <c r="A26" s="1">
        <v>46071</v>
      </c>
      <c r="B26" t="s">
        <v>41</v>
      </c>
      <c r="C26">
        <v>55</v>
      </c>
      <c r="D26">
        <v>12</v>
      </c>
      <c r="E26">
        <v>11</v>
      </c>
      <c r="F26">
        <f t="shared" si="1"/>
        <v>56</v>
      </c>
      <c r="G26">
        <v>12</v>
      </c>
      <c r="H26" t="str">
        <f t="shared" si="0"/>
        <v>Ok</v>
      </c>
    </row>
    <row r="27" spans="1:8" x14ac:dyDescent="0.35">
      <c r="A27" s="1">
        <v>46073</v>
      </c>
      <c r="B27" t="s">
        <v>7</v>
      </c>
      <c r="C27">
        <v>133</v>
      </c>
      <c r="D27">
        <v>35</v>
      </c>
      <c r="E27">
        <v>46</v>
      </c>
      <c r="F27">
        <f t="shared" si="1"/>
        <v>122</v>
      </c>
      <c r="G27">
        <v>40</v>
      </c>
      <c r="H27" t="str">
        <f t="shared" si="0"/>
        <v>Ok</v>
      </c>
    </row>
    <row r="28" spans="1:8" x14ac:dyDescent="0.35">
      <c r="A28" s="1">
        <v>46075</v>
      </c>
      <c r="B28" t="s">
        <v>24</v>
      </c>
      <c r="C28">
        <v>116</v>
      </c>
      <c r="D28">
        <v>25</v>
      </c>
      <c r="E28">
        <v>34</v>
      </c>
      <c r="F28">
        <f t="shared" si="1"/>
        <v>107</v>
      </c>
      <c r="G28">
        <v>35</v>
      </c>
      <c r="H28" t="str">
        <f t="shared" si="0"/>
        <v>Ok</v>
      </c>
    </row>
    <row r="29" spans="1:8" x14ac:dyDescent="0.35">
      <c r="A29" s="1">
        <v>46077</v>
      </c>
      <c r="B29" t="s">
        <v>27</v>
      </c>
      <c r="C29">
        <v>88</v>
      </c>
      <c r="D29">
        <v>18</v>
      </c>
      <c r="E29">
        <v>20</v>
      </c>
      <c r="F29">
        <f t="shared" si="1"/>
        <v>86</v>
      </c>
      <c r="G29">
        <v>25</v>
      </c>
      <c r="H29" t="str">
        <f t="shared" si="0"/>
        <v>Ok</v>
      </c>
    </row>
    <row r="30" spans="1:8" x14ac:dyDescent="0.35">
      <c r="A30" s="1">
        <v>46079</v>
      </c>
      <c r="B30" t="s">
        <v>9</v>
      </c>
      <c r="C30">
        <v>96</v>
      </c>
      <c r="D30">
        <v>22</v>
      </c>
      <c r="E30">
        <v>28</v>
      </c>
      <c r="F30">
        <f t="shared" si="1"/>
        <v>90</v>
      </c>
      <c r="G30">
        <v>30</v>
      </c>
      <c r="H30" t="str">
        <f t="shared" si="0"/>
        <v>Ok</v>
      </c>
    </row>
    <row r="31" spans="1:8" x14ac:dyDescent="0.35">
      <c r="A31" s="1">
        <v>46081</v>
      </c>
      <c r="B31" t="s">
        <v>29</v>
      </c>
      <c r="C31">
        <v>83</v>
      </c>
      <c r="D31">
        <v>18</v>
      </c>
      <c r="E31">
        <v>22</v>
      </c>
      <c r="F31">
        <f t="shared" si="1"/>
        <v>79</v>
      </c>
      <c r="G31">
        <v>20</v>
      </c>
      <c r="H31" t="str">
        <f t="shared" si="0"/>
        <v>Ok</v>
      </c>
    </row>
    <row r="32" spans="1:8" x14ac:dyDescent="0.35">
      <c r="A32" s="1">
        <v>46083</v>
      </c>
      <c r="B32" t="s">
        <v>31</v>
      </c>
      <c r="C32">
        <v>136</v>
      </c>
      <c r="D32">
        <v>30</v>
      </c>
      <c r="E32">
        <v>31</v>
      </c>
      <c r="F32">
        <f t="shared" si="1"/>
        <v>135</v>
      </c>
      <c r="G32">
        <v>35</v>
      </c>
      <c r="H32" t="str">
        <f t="shared" si="0"/>
        <v>Ok</v>
      </c>
    </row>
    <row r="33" spans="1:8" x14ac:dyDescent="0.35">
      <c r="A33" s="1">
        <v>46085</v>
      </c>
      <c r="B33" t="s">
        <v>32</v>
      </c>
      <c r="C33">
        <v>77</v>
      </c>
      <c r="D33">
        <v>15</v>
      </c>
      <c r="E33">
        <v>18</v>
      </c>
      <c r="F33">
        <f t="shared" si="1"/>
        <v>74</v>
      </c>
      <c r="G33">
        <v>20</v>
      </c>
      <c r="H33" t="str">
        <f t="shared" si="0"/>
        <v>Ok</v>
      </c>
    </row>
    <row r="34" spans="1:8" x14ac:dyDescent="0.35">
      <c r="A34" s="1">
        <v>46087</v>
      </c>
      <c r="B34" t="s">
        <v>34</v>
      </c>
      <c r="C34">
        <v>104</v>
      </c>
      <c r="D34">
        <v>24</v>
      </c>
      <c r="E34">
        <v>29</v>
      </c>
      <c r="F34">
        <f t="shared" si="1"/>
        <v>99</v>
      </c>
      <c r="G34">
        <v>30</v>
      </c>
      <c r="H34" t="str">
        <f t="shared" si="0"/>
        <v>Ok</v>
      </c>
    </row>
    <row r="35" spans="1:8" x14ac:dyDescent="0.35">
      <c r="A35" s="1">
        <v>46089</v>
      </c>
      <c r="B35" t="s">
        <v>35</v>
      </c>
      <c r="C35">
        <v>87</v>
      </c>
      <c r="D35">
        <v>18</v>
      </c>
      <c r="E35">
        <v>27</v>
      </c>
      <c r="F35">
        <f t="shared" si="1"/>
        <v>78</v>
      </c>
      <c r="G35">
        <v>25</v>
      </c>
      <c r="H35" t="str">
        <f t="shared" si="0"/>
        <v>Ok</v>
      </c>
    </row>
    <row r="36" spans="1:8" x14ac:dyDescent="0.35">
      <c r="A36" s="1">
        <v>46091</v>
      </c>
      <c r="B36" t="s">
        <v>37</v>
      </c>
      <c r="C36">
        <v>127</v>
      </c>
      <c r="D36">
        <v>30</v>
      </c>
      <c r="E36">
        <v>44</v>
      </c>
      <c r="F36">
        <f t="shared" si="1"/>
        <v>113</v>
      </c>
      <c r="G36">
        <v>50</v>
      </c>
      <c r="H36" t="str">
        <f t="shared" si="0"/>
        <v>Ok</v>
      </c>
    </row>
    <row r="37" spans="1:8" x14ac:dyDescent="0.35">
      <c r="A37" s="1">
        <v>46093</v>
      </c>
      <c r="B37" t="s">
        <v>38</v>
      </c>
      <c r="C37">
        <v>120</v>
      </c>
      <c r="D37">
        <v>25</v>
      </c>
      <c r="E37">
        <v>39</v>
      </c>
      <c r="F37">
        <f t="shared" si="1"/>
        <v>106</v>
      </c>
      <c r="G37">
        <v>45</v>
      </c>
      <c r="H37" t="str">
        <f t="shared" si="0"/>
        <v>Ok</v>
      </c>
    </row>
    <row r="38" spans="1:8" x14ac:dyDescent="0.35">
      <c r="A38" s="1">
        <v>46095</v>
      </c>
      <c r="B38" t="s">
        <v>40</v>
      </c>
      <c r="C38">
        <v>72</v>
      </c>
      <c r="D38">
        <v>15</v>
      </c>
      <c r="E38">
        <v>17</v>
      </c>
      <c r="F38">
        <f t="shared" si="1"/>
        <v>70</v>
      </c>
      <c r="G38">
        <v>15</v>
      </c>
      <c r="H38" t="str">
        <f t="shared" si="0"/>
        <v>Ok</v>
      </c>
    </row>
    <row r="39" spans="1:8" x14ac:dyDescent="0.35">
      <c r="A39" s="1">
        <v>46097</v>
      </c>
      <c r="B39" t="s">
        <v>41</v>
      </c>
      <c r="C39">
        <v>56</v>
      </c>
      <c r="D39">
        <v>10</v>
      </c>
      <c r="E39">
        <v>14</v>
      </c>
      <c r="F39">
        <f t="shared" si="1"/>
        <v>52</v>
      </c>
      <c r="G39">
        <v>12</v>
      </c>
      <c r="H39" t="str">
        <f t="shared" si="0"/>
        <v>Ok</v>
      </c>
    </row>
    <row r="40" spans="1:8" x14ac:dyDescent="0.35">
      <c r="A40" s="1">
        <v>46099</v>
      </c>
      <c r="B40" t="s">
        <v>7</v>
      </c>
      <c r="C40">
        <v>122</v>
      </c>
      <c r="D40">
        <v>28</v>
      </c>
      <c r="E40">
        <v>49</v>
      </c>
      <c r="F40">
        <f t="shared" si="1"/>
        <v>101</v>
      </c>
      <c r="G40">
        <v>40</v>
      </c>
      <c r="H40" t="str">
        <f t="shared" si="0"/>
        <v>Ok</v>
      </c>
    </row>
    <row r="41" spans="1:8" x14ac:dyDescent="0.35">
      <c r="A41" s="1">
        <v>46101</v>
      </c>
      <c r="B41" t="s">
        <v>24</v>
      </c>
      <c r="C41">
        <v>107</v>
      </c>
      <c r="D41">
        <v>20</v>
      </c>
      <c r="E41">
        <v>37</v>
      </c>
      <c r="F41">
        <f t="shared" si="1"/>
        <v>90</v>
      </c>
      <c r="G41">
        <v>35</v>
      </c>
      <c r="H41" t="str">
        <f t="shared" si="0"/>
        <v>Ok</v>
      </c>
    </row>
    <row r="42" spans="1:8" x14ac:dyDescent="0.35">
      <c r="A42" s="1">
        <v>46103</v>
      </c>
      <c r="B42" t="s">
        <v>27</v>
      </c>
      <c r="C42">
        <v>86</v>
      </c>
      <c r="D42">
        <v>15</v>
      </c>
      <c r="E42">
        <v>25</v>
      </c>
      <c r="F42">
        <f t="shared" si="1"/>
        <v>76</v>
      </c>
      <c r="G42">
        <v>25</v>
      </c>
      <c r="H42" t="str">
        <f t="shared" si="0"/>
        <v>Ok</v>
      </c>
    </row>
    <row r="43" spans="1:8" x14ac:dyDescent="0.35">
      <c r="A43" s="1">
        <v>46105</v>
      </c>
      <c r="B43" t="s">
        <v>9</v>
      </c>
      <c r="C43">
        <v>90</v>
      </c>
      <c r="D43">
        <v>18</v>
      </c>
      <c r="E43">
        <v>32</v>
      </c>
      <c r="F43">
        <f t="shared" si="1"/>
        <v>76</v>
      </c>
      <c r="G43">
        <v>30</v>
      </c>
      <c r="H43" t="str">
        <f t="shared" si="0"/>
        <v>Ok</v>
      </c>
    </row>
    <row r="44" spans="1:8" x14ac:dyDescent="0.35">
      <c r="A44" s="1">
        <v>46107</v>
      </c>
      <c r="B44" t="s">
        <v>29</v>
      </c>
      <c r="C44">
        <v>79</v>
      </c>
      <c r="D44">
        <v>15</v>
      </c>
      <c r="E44">
        <v>26</v>
      </c>
      <c r="F44">
        <f t="shared" si="1"/>
        <v>68</v>
      </c>
      <c r="G44">
        <v>20</v>
      </c>
      <c r="H44" t="str">
        <f t="shared" si="0"/>
        <v>Ok</v>
      </c>
    </row>
    <row r="45" spans="1:8" x14ac:dyDescent="0.35">
      <c r="A45" s="1">
        <v>46109</v>
      </c>
      <c r="B45" t="s">
        <v>31</v>
      </c>
      <c r="C45">
        <v>135</v>
      </c>
      <c r="D45">
        <v>22</v>
      </c>
      <c r="E45">
        <v>35</v>
      </c>
      <c r="F45">
        <f t="shared" si="1"/>
        <v>122</v>
      </c>
      <c r="G45">
        <v>35</v>
      </c>
      <c r="H45" t="str">
        <f t="shared" si="0"/>
        <v>Ok</v>
      </c>
    </row>
    <row r="46" spans="1:8" x14ac:dyDescent="0.35">
      <c r="A46" s="1">
        <v>46111</v>
      </c>
      <c r="B46" t="s">
        <v>32</v>
      </c>
      <c r="C46">
        <v>74</v>
      </c>
      <c r="D46">
        <v>12</v>
      </c>
      <c r="E46">
        <v>21</v>
      </c>
      <c r="F46">
        <f t="shared" si="1"/>
        <v>65</v>
      </c>
      <c r="G46">
        <v>20</v>
      </c>
      <c r="H46" t="str">
        <f t="shared" si="0"/>
        <v>Ok</v>
      </c>
    </row>
    <row r="47" spans="1:8" x14ac:dyDescent="0.35">
      <c r="A47" s="1">
        <v>46113</v>
      </c>
      <c r="B47" t="s">
        <v>34</v>
      </c>
      <c r="C47">
        <v>99</v>
      </c>
      <c r="D47">
        <v>20</v>
      </c>
      <c r="E47">
        <v>32</v>
      </c>
      <c r="F47">
        <f t="shared" si="1"/>
        <v>87</v>
      </c>
      <c r="G47">
        <v>30</v>
      </c>
      <c r="H47" t="str">
        <f t="shared" si="0"/>
        <v>Ok</v>
      </c>
    </row>
    <row r="48" spans="1:8" x14ac:dyDescent="0.35">
      <c r="A48" s="1">
        <v>46115</v>
      </c>
      <c r="B48" t="s">
        <v>35</v>
      </c>
      <c r="C48">
        <v>78</v>
      </c>
      <c r="D48">
        <v>15</v>
      </c>
      <c r="E48">
        <v>29</v>
      </c>
      <c r="F48">
        <f t="shared" si="1"/>
        <v>64</v>
      </c>
      <c r="G48">
        <v>25</v>
      </c>
      <c r="H48" t="str">
        <f t="shared" si="0"/>
        <v>Ok</v>
      </c>
    </row>
    <row r="49" spans="1:8" x14ac:dyDescent="0.35">
      <c r="A49" s="1">
        <v>46117</v>
      </c>
      <c r="B49" t="s">
        <v>37</v>
      </c>
      <c r="C49">
        <v>113</v>
      </c>
      <c r="D49">
        <v>22</v>
      </c>
      <c r="E49">
        <v>48</v>
      </c>
      <c r="F49">
        <f t="shared" si="1"/>
        <v>87</v>
      </c>
      <c r="G49">
        <v>50</v>
      </c>
      <c r="H49" t="str">
        <f t="shared" si="0"/>
        <v>Ok</v>
      </c>
    </row>
    <row r="50" spans="1:8" x14ac:dyDescent="0.35">
      <c r="A50" s="1">
        <v>46119</v>
      </c>
      <c r="B50" t="s">
        <v>38</v>
      </c>
      <c r="C50">
        <v>106</v>
      </c>
      <c r="D50">
        <v>18</v>
      </c>
      <c r="E50">
        <v>43</v>
      </c>
      <c r="F50">
        <f t="shared" si="1"/>
        <v>81</v>
      </c>
      <c r="G50">
        <v>45</v>
      </c>
      <c r="H50" t="str">
        <f t="shared" si="0"/>
        <v>Ok</v>
      </c>
    </row>
    <row r="51" spans="1:8" x14ac:dyDescent="0.35">
      <c r="A51" s="1">
        <v>46121</v>
      </c>
      <c r="B51" t="s">
        <v>40</v>
      </c>
      <c r="C51">
        <v>70</v>
      </c>
      <c r="D51">
        <v>12</v>
      </c>
      <c r="E51">
        <v>20</v>
      </c>
      <c r="F51">
        <f t="shared" si="1"/>
        <v>62</v>
      </c>
      <c r="G51">
        <v>15</v>
      </c>
      <c r="H51" t="str">
        <f t="shared" si="0"/>
        <v>Ok</v>
      </c>
    </row>
    <row r="52" spans="1:8" x14ac:dyDescent="0.35">
      <c r="A52" s="1">
        <v>46123</v>
      </c>
      <c r="B52" t="s">
        <v>41</v>
      </c>
      <c r="C52">
        <v>52</v>
      </c>
      <c r="D52">
        <v>8</v>
      </c>
      <c r="E52">
        <v>16</v>
      </c>
      <c r="F52">
        <f t="shared" si="1"/>
        <v>44</v>
      </c>
      <c r="G52">
        <v>12</v>
      </c>
      <c r="H52" t="str">
        <f t="shared" si="0"/>
        <v>Ok</v>
      </c>
    </row>
    <row r="53" spans="1:8" x14ac:dyDescent="0.35">
      <c r="A53" s="1">
        <v>46125</v>
      </c>
      <c r="B53" t="s">
        <v>7</v>
      </c>
      <c r="C53">
        <v>101</v>
      </c>
      <c r="D53">
        <v>20</v>
      </c>
      <c r="E53">
        <v>54</v>
      </c>
      <c r="F53">
        <f t="shared" si="1"/>
        <v>67</v>
      </c>
      <c r="G53">
        <v>40</v>
      </c>
      <c r="H53" t="str">
        <f t="shared" si="0"/>
        <v>Ok</v>
      </c>
    </row>
    <row r="54" spans="1:8" x14ac:dyDescent="0.35">
      <c r="A54" s="1">
        <v>46127</v>
      </c>
      <c r="B54" t="s">
        <v>24</v>
      </c>
      <c r="C54">
        <v>90</v>
      </c>
      <c r="D54">
        <v>15</v>
      </c>
      <c r="E54">
        <v>42</v>
      </c>
      <c r="F54">
        <f t="shared" si="1"/>
        <v>63</v>
      </c>
      <c r="G54">
        <v>35</v>
      </c>
      <c r="H54" t="str">
        <f t="shared" si="0"/>
        <v>Ok</v>
      </c>
    </row>
    <row r="55" spans="1:8" x14ac:dyDescent="0.35">
      <c r="A55" s="1">
        <v>46129</v>
      </c>
      <c r="B55" t="s">
        <v>27</v>
      </c>
      <c r="C55">
        <v>76</v>
      </c>
      <c r="D55">
        <v>10</v>
      </c>
      <c r="E55">
        <v>29</v>
      </c>
      <c r="F55">
        <f t="shared" si="1"/>
        <v>57</v>
      </c>
      <c r="G55">
        <v>25</v>
      </c>
      <c r="H55" t="str">
        <f t="shared" si="0"/>
        <v>Ok</v>
      </c>
    </row>
    <row r="56" spans="1:8" x14ac:dyDescent="0.35">
      <c r="A56" s="1">
        <v>46131</v>
      </c>
      <c r="B56" t="s">
        <v>9</v>
      </c>
      <c r="C56">
        <v>76</v>
      </c>
      <c r="D56">
        <v>12</v>
      </c>
      <c r="E56">
        <v>35</v>
      </c>
      <c r="F56">
        <f t="shared" si="1"/>
        <v>53</v>
      </c>
      <c r="G56">
        <v>30</v>
      </c>
      <c r="H56" t="str">
        <f t="shared" si="0"/>
        <v>Ok</v>
      </c>
    </row>
    <row r="57" spans="1:8" x14ac:dyDescent="0.35">
      <c r="A57" s="1">
        <v>46133</v>
      </c>
      <c r="B57" t="s">
        <v>29</v>
      </c>
      <c r="C57">
        <v>68</v>
      </c>
      <c r="D57">
        <v>10</v>
      </c>
      <c r="E57">
        <v>28</v>
      </c>
      <c r="F57">
        <f t="shared" si="1"/>
        <v>50</v>
      </c>
      <c r="G57">
        <v>20</v>
      </c>
      <c r="H57" t="str">
        <f t="shared" si="0"/>
        <v>Ok</v>
      </c>
    </row>
    <row r="58" spans="1:8" x14ac:dyDescent="0.35">
      <c r="A58" s="1">
        <v>46135</v>
      </c>
      <c r="B58" t="s">
        <v>31</v>
      </c>
      <c r="C58">
        <v>122</v>
      </c>
      <c r="D58">
        <v>15</v>
      </c>
      <c r="E58">
        <v>39</v>
      </c>
      <c r="F58">
        <f t="shared" si="1"/>
        <v>98</v>
      </c>
      <c r="G58">
        <v>35</v>
      </c>
      <c r="H58" t="str">
        <f t="shared" si="0"/>
        <v>Ok</v>
      </c>
    </row>
    <row r="59" spans="1:8" x14ac:dyDescent="0.35">
      <c r="A59" s="1">
        <v>46137</v>
      </c>
      <c r="B59" t="s">
        <v>32</v>
      </c>
      <c r="C59">
        <v>65</v>
      </c>
      <c r="D59">
        <v>8</v>
      </c>
      <c r="E59">
        <v>24</v>
      </c>
      <c r="F59">
        <f t="shared" si="1"/>
        <v>49</v>
      </c>
      <c r="G59">
        <v>20</v>
      </c>
      <c r="H59" t="str">
        <f t="shared" si="0"/>
        <v>Ok</v>
      </c>
    </row>
    <row r="60" spans="1:8" x14ac:dyDescent="0.35">
      <c r="A60" s="1">
        <v>46139</v>
      </c>
      <c r="B60" t="s">
        <v>34</v>
      </c>
      <c r="C60">
        <v>87</v>
      </c>
      <c r="D60">
        <v>12</v>
      </c>
      <c r="E60">
        <v>34</v>
      </c>
      <c r="F60">
        <f t="shared" si="1"/>
        <v>65</v>
      </c>
      <c r="G60">
        <v>30</v>
      </c>
      <c r="H60" t="str">
        <f t="shared" si="0"/>
        <v>Ok</v>
      </c>
    </row>
    <row r="61" spans="1:8" x14ac:dyDescent="0.35">
      <c r="A61" s="1">
        <v>46141</v>
      </c>
      <c r="B61" t="s">
        <v>35</v>
      </c>
      <c r="C61">
        <v>64</v>
      </c>
      <c r="D61">
        <v>10</v>
      </c>
      <c r="E61">
        <v>31</v>
      </c>
      <c r="F61">
        <f t="shared" si="1"/>
        <v>43</v>
      </c>
      <c r="G61">
        <v>25</v>
      </c>
      <c r="H61" t="str">
        <f t="shared" si="0"/>
        <v>Ok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6690-BFCE-43FF-88C9-0BA89B953B81}">
  <dimension ref="A1:H21"/>
  <sheetViews>
    <sheetView workbookViewId="0">
      <selection activeCell="F2" sqref="F2"/>
    </sheetView>
  </sheetViews>
  <sheetFormatPr defaultRowHeight="14.5" x14ac:dyDescent="0.35"/>
  <cols>
    <col min="1" max="1" width="16.90625" customWidth="1"/>
    <col min="3" max="3" width="14.26953125" customWidth="1"/>
    <col min="4" max="4" width="13.6328125" customWidth="1"/>
    <col min="5" max="5" width="17.6328125" customWidth="1"/>
    <col min="6" max="6" width="18.36328125" customWidth="1"/>
    <col min="7" max="7" width="11.453125" customWidth="1"/>
    <col min="9" max="9" width="12.453125" bestFit="1" customWidth="1"/>
    <col min="10" max="10" width="11.36328125" bestFit="1" customWidth="1"/>
    <col min="11" max="11" width="8.90625" bestFit="1" customWidth="1"/>
    <col min="12" max="12" width="11.26953125" bestFit="1" customWidth="1"/>
    <col min="13" max="13" width="11.90625" bestFit="1" customWidth="1"/>
  </cols>
  <sheetData>
    <row r="1" spans="1:8" x14ac:dyDescent="0.3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105</v>
      </c>
      <c r="G1" s="2"/>
    </row>
    <row r="2" spans="1:8" x14ac:dyDescent="0.35">
      <c r="A2" t="s">
        <v>76</v>
      </c>
      <c r="B2" t="s">
        <v>77</v>
      </c>
      <c r="C2">
        <v>25</v>
      </c>
      <c r="D2">
        <v>1</v>
      </c>
      <c r="E2">
        <v>148</v>
      </c>
      <c r="F2" s="6">
        <f>E2/C2</f>
        <v>5.92</v>
      </c>
      <c r="G2" s="6"/>
    </row>
    <row r="3" spans="1:8" x14ac:dyDescent="0.35">
      <c r="A3" t="s">
        <v>78</v>
      </c>
      <c r="B3" t="s">
        <v>77</v>
      </c>
      <c r="C3">
        <v>24</v>
      </c>
      <c r="D3">
        <v>2</v>
      </c>
      <c r="E3">
        <v>139</v>
      </c>
      <c r="F3" s="6">
        <f t="shared" ref="F3:F21" si="0">E3/C3</f>
        <v>5.791666666666667</v>
      </c>
      <c r="G3" s="6"/>
    </row>
    <row r="4" spans="1:8" x14ac:dyDescent="0.35">
      <c r="A4" t="s">
        <v>79</v>
      </c>
      <c r="B4" t="s">
        <v>77</v>
      </c>
      <c r="C4">
        <v>26</v>
      </c>
      <c r="D4">
        <v>0</v>
      </c>
      <c r="E4">
        <v>154</v>
      </c>
      <c r="F4" s="6">
        <f t="shared" si="0"/>
        <v>5.9230769230769234</v>
      </c>
      <c r="G4" s="6"/>
      <c r="H4" s="6"/>
    </row>
    <row r="5" spans="1:8" x14ac:dyDescent="0.35">
      <c r="A5" t="s">
        <v>80</v>
      </c>
      <c r="B5" t="s">
        <v>77</v>
      </c>
      <c r="C5">
        <v>21</v>
      </c>
      <c r="D5">
        <v>6</v>
      </c>
      <c r="E5">
        <v>118</v>
      </c>
      <c r="F5" s="6">
        <f t="shared" si="0"/>
        <v>5.6190476190476186</v>
      </c>
      <c r="G5" s="6"/>
    </row>
    <row r="6" spans="1:8" x14ac:dyDescent="0.35">
      <c r="A6" t="s">
        <v>81</v>
      </c>
      <c r="B6" t="s">
        <v>77</v>
      </c>
      <c r="C6">
        <v>25</v>
      </c>
      <c r="D6">
        <v>1</v>
      </c>
      <c r="E6">
        <v>145</v>
      </c>
      <c r="F6" s="6">
        <f t="shared" si="0"/>
        <v>5.8</v>
      </c>
      <c r="G6" s="6"/>
    </row>
    <row r="7" spans="1:8" x14ac:dyDescent="0.35">
      <c r="A7" t="s">
        <v>76</v>
      </c>
      <c r="B7" t="s">
        <v>82</v>
      </c>
      <c r="C7">
        <v>24</v>
      </c>
      <c r="D7">
        <v>2</v>
      </c>
      <c r="E7">
        <v>143</v>
      </c>
      <c r="F7" s="6">
        <f t="shared" si="0"/>
        <v>5.958333333333333</v>
      </c>
      <c r="G7" s="6"/>
    </row>
    <row r="8" spans="1:8" x14ac:dyDescent="0.35">
      <c r="A8" t="s">
        <v>78</v>
      </c>
      <c r="B8" t="s">
        <v>82</v>
      </c>
      <c r="C8">
        <v>23</v>
      </c>
      <c r="D8">
        <v>3</v>
      </c>
      <c r="E8">
        <v>134</v>
      </c>
      <c r="F8" s="6">
        <f t="shared" si="0"/>
        <v>5.8260869565217392</v>
      </c>
      <c r="G8" s="6"/>
    </row>
    <row r="9" spans="1:8" x14ac:dyDescent="0.35">
      <c r="A9" t="s">
        <v>79</v>
      </c>
      <c r="B9" t="s">
        <v>82</v>
      </c>
      <c r="C9">
        <v>25</v>
      </c>
      <c r="D9">
        <v>1</v>
      </c>
      <c r="E9">
        <v>150</v>
      </c>
      <c r="F9" s="6">
        <f t="shared" si="0"/>
        <v>6</v>
      </c>
      <c r="G9" s="6"/>
    </row>
    <row r="10" spans="1:8" x14ac:dyDescent="0.35">
      <c r="A10" t="s">
        <v>80</v>
      </c>
      <c r="B10" t="s">
        <v>82</v>
      </c>
      <c r="C10">
        <v>20</v>
      </c>
      <c r="D10">
        <v>7</v>
      </c>
      <c r="E10">
        <v>110</v>
      </c>
      <c r="F10" s="6">
        <f t="shared" si="0"/>
        <v>5.5</v>
      </c>
      <c r="G10" s="6"/>
    </row>
    <row r="11" spans="1:8" x14ac:dyDescent="0.35">
      <c r="A11" t="s">
        <v>81</v>
      </c>
      <c r="B11" t="s">
        <v>82</v>
      </c>
      <c r="C11">
        <v>24</v>
      </c>
      <c r="D11">
        <v>2</v>
      </c>
      <c r="E11">
        <v>140</v>
      </c>
      <c r="F11" s="6">
        <f t="shared" si="0"/>
        <v>5.833333333333333</v>
      </c>
      <c r="G11" s="6"/>
    </row>
    <row r="12" spans="1:8" x14ac:dyDescent="0.35">
      <c r="A12" t="s">
        <v>76</v>
      </c>
      <c r="B12" t="s">
        <v>83</v>
      </c>
      <c r="C12">
        <v>25</v>
      </c>
      <c r="D12">
        <v>1</v>
      </c>
      <c r="E12">
        <v>151</v>
      </c>
      <c r="F12" s="6">
        <f t="shared" si="0"/>
        <v>6.04</v>
      </c>
      <c r="G12" s="6"/>
    </row>
    <row r="13" spans="1:8" x14ac:dyDescent="0.35">
      <c r="A13" t="s">
        <v>78</v>
      </c>
      <c r="B13" t="s">
        <v>83</v>
      </c>
      <c r="C13">
        <v>24</v>
      </c>
      <c r="D13">
        <v>2</v>
      </c>
      <c r="E13">
        <v>141</v>
      </c>
      <c r="F13" s="6">
        <f t="shared" si="0"/>
        <v>5.875</v>
      </c>
      <c r="G13" s="6"/>
    </row>
    <row r="14" spans="1:8" x14ac:dyDescent="0.35">
      <c r="A14" t="s">
        <v>79</v>
      </c>
      <c r="B14" t="s">
        <v>83</v>
      </c>
      <c r="C14">
        <v>26</v>
      </c>
      <c r="D14">
        <v>0</v>
      </c>
      <c r="E14">
        <v>158</v>
      </c>
      <c r="F14" s="6">
        <f t="shared" si="0"/>
        <v>6.0769230769230766</v>
      </c>
      <c r="G14" s="6"/>
    </row>
    <row r="15" spans="1:8" x14ac:dyDescent="0.35">
      <c r="A15" t="s">
        <v>80</v>
      </c>
      <c r="B15" t="s">
        <v>83</v>
      </c>
      <c r="C15">
        <v>19</v>
      </c>
      <c r="D15">
        <v>8</v>
      </c>
      <c r="E15">
        <v>104</v>
      </c>
      <c r="F15" s="6">
        <f t="shared" si="0"/>
        <v>5.4736842105263159</v>
      </c>
      <c r="G15" s="6"/>
    </row>
    <row r="16" spans="1:8" x14ac:dyDescent="0.35">
      <c r="A16" t="s">
        <v>81</v>
      </c>
      <c r="B16" t="s">
        <v>83</v>
      </c>
      <c r="C16">
        <v>25</v>
      </c>
      <c r="D16">
        <v>1</v>
      </c>
      <c r="E16">
        <v>147</v>
      </c>
      <c r="F16" s="6">
        <f t="shared" si="0"/>
        <v>5.88</v>
      </c>
      <c r="G16" s="6"/>
    </row>
    <row r="17" spans="1:7" x14ac:dyDescent="0.35">
      <c r="A17" t="s">
        <v>76</v>
      </c>
      <c r="B17" t="s">
        <v>84</v>
      </c>
      <c r="C17">
        <v>24</v>
      </c>
      <c r="D17">
        <v>2</v>
      </c>
      <c r="E17">
        <v>146</v>
      </c>
      <c r="F17" s="6">
        <f t="shared" si="0"/>
        <v>6.083333333333333</v>
      </c>
      <c r="G17" s="6"/>
    </row>
    <row r="18" spans="1:7" x14ac:dyDescent="0.35">
      <c r="A18" t="s">
        <v>78</v>
      </c>
      <c r="B18" t="s">
        <v>84</v>
      </c>
      <c r="C18">
        <v>23</v>
      </c>
      <c r="D18">
        <v>3</v>
      </c>
      <c r="E18">
        <v>136</v>
      </c>
      <c r="F18" s="6">
        <f t="shared" si="0"/>
        <v>5.9130434782608692</v>
      </c>
      <c r="G18" s="6"/>
    </row>
    <row r="19" spans="1:7" x14ac:dyDescent="0.35">
      <c r="A19" t="s">
        <v>79</v>
      </c>
      <c r="B19" t="s">
        <v>84</v>
      </c>
      <c r="C19">
        <v>25</v>
      </c>
      <c r="D19">
        <v>1</v>
      </c>
      <c r="E19">
        <v>152</v>
      </c>
      <c r="F19" s="6">
        <f t="shared" si="0"/>
        <v>6.08</v>
      </c>
      <c r="G19" s="6"/>
    </row>
    <row r="20" spans="1:7" x14ac:dyDescent="0.35">
      <c r="A20" t="s">
        <v>80</v>
      </c>
      <c r="B20" t="s">
        <v>84</v>
      </c>
      <c r="C20">
        <v>20</v>
      </c>
      <c r="D20">
        <v>7</v>
      </c>
      <c r="E20">
        <v>109</v>
      </c>
      <c r="F20" s="6">
        <f t="shared" si="0"/>
        <v>5.45</v>
      </c>
      <c r="G20" s="6"/>
    </row>
    <row r="21" spans="1:7" x14ac:dyDescent="0.35">
      <c r="A21" t="s">
        <v>81</v>
      </c>
      <c r="B21" t="s">
        <v>84</v>
      </c>
      <c r="C21">
        <v>24</v>
      </c>
      <c r="D21">
        <v>2</v>
      </c>
      <c r="E21">
        <v>142</v>
      </c>
      <c r="F21" s="6">
        <f t="shared" si="0"/>
        <v>5.916666666666667</v>
      </c>
      <c r="G21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ED60-CF35-4CC1-8BAC-0FC5137AE246}">
  <dimension ref="A1:G12"/>
  <sheetViews>
    <sheetView tabSelected="1" workbookViewId="0">
      <selection activeCell="I3" sqref="I3"/>
    </sheetView>
  </sheetViews>
  <sheetFormatPr defaultRowHeight="14.5" x14ac:dyDescent="0.35"/>
  <cols>
    <col min="1" max="1" width="23.90625" bestFit="1" customWidth="1"/>
    <col min="2" max="2" width="12.7265625" bestFit="1" customWidth="1"/>
    <col min="6" max="6" width="14.36328125" bestFit="1" customWidth="1"/>
    <col min="7" max="7" width="12.36328125" bestFit="1" customWidth="1"/>
    <col min="8" max="8" width="14.36328125" bestFit="1" customWidth="1"/>
  </cols>
  <sheetData>
    <row r="1" spans="1:7" x14ac:dyDescent="0.35">
      <c r="A1" s="2" t="s">
        <v>85</v>
      </c>
      <c r="B1" s="2" t="s">
        <v>86</v>
      </c>
      <c r="G1" s="2"/>
    </row>
    <row r="2" spans="1:7" x14ac:dyDescent="0.35">
      <c r="A2" s="2" t="s">
        <v>87</v>
      </c>
      <c r="B2" s="7">
        <f>SUM(Sales_Data!F2:F128)</f>
        <v>1298170</v>
      </c>
    </row>
    <row r="3" spans="1:7" x14ac:dyDescent="0.35">
      <c r="A3" s="2" t="s">
        <v>88</v>
      </c>
      <c r="B3" s="7">
        <f>SUM(Expense_Data!D2:D54)</f>
        <v>942900</v>
      </c>
    </row>
    <row r="4" spans="1:7" x14ac:dyDescent="0.35">
      <c r="A4" s="2" t="s">
        <v>89</v>
      </c>
      <c r="B4" s="7">
        <f>B2-B3</f>
        <v>355270</v>
      </c>
    </row>
    <row r="5" spans="1:7" x14ac:dyDescent="0.35">
      <c r="A5" s="2" t="s">
        <v>90</v>
      </c>
      <c r="B5" s="9">
        <f>B4/B2</f>
        <v>0.2736698583390465</v>
      </c>
      <c r="E5" s="4" t="s">
        <v>99</v>
      </c>
      <c r="F5" t="s">
        <v>101</v>
      </c>
    </row>
    <row r="6" spans="1:7" x14ac:dyDescent="0.35">
      <c r="A6" s="2" t="s">
        <v>91</v>
      </c>
      <c r="B6">
        <f>AVERAGE(Sales_Data!F2:F128)</f>
        <v>10221.811023622047</v>
      </c>
      <c r="E6" s="5" t="s">
        <v>6</v>
      </c>
      <c r="F6">
        <v>491390</v>
      </c>
    </row>
    <row r="7" spans="1:7" x14ac:dyDescent="0.35">
      <c r="A7" s="2" t="s">
        <v>92</v>
      </c>
      <c r="B7" t="s">
        <v>6</v>
      </c>
      <c r="E7" s="5" t="s">
        <v>8</v>
      </c>
      <c r="F7">
        <v>213490</v>
      </c>
    </row>
    <row r="8" spans="1:7" x14ac:dyDescent="0.35">
      <c r="A8" s="2" t="s">
        <v>93</v>
      </c>
      <c r="B8">
        <f>COUNTIF(Inventory_Data!H2:H61,"Reorder Needed")</f>
        <v>2</v>
      </c>
      <c r="E8" s="5" t="s">
        <v>30</v>
      </c>
      <c r="F8">
        <v>110760</v>
      </c>
    </row>
    <row r="9" spans="1:7" x14ac:dyDescent="0.35">
      <c r="A9" s="2" t="s">
        <v>94</v>
      </c>
      <c r="B9" s="8">
        <f>AVERAGE(Employee_Perfomance!C2:C21)/26</f>
        <v>0.9076923076923078</v>
      </c>
      <c r="E9" s="5" t="s">
        <v>39</v>
      </c>
      <c r="F9">
        <v>314520</v>
      </c>
    </row>
    <row r="10" spans="1:7" x14ac:dyDescent="0.35">
      <c r="A10" s="2" t="s">
        <v>95</v>
      </c>
      <c r="B10">
        <f>AVERAGE(Employee_Perfomance!D2:D21)</f>
        <v>2.6</v>
      </c>
      <c r="E10" s="5" t="s">
        <v>36</v>
      </c>
      <c r="F10">
        <v>34650</v>
      </c>
    </row>
    <row r="11" spans="1:7" x14ac:dyDescent="0.35">
      <c r="A11" s="2" t="s">
        <v>96</v>
      </c>
      <c r="B11" t="str">
        <f>INDEX(Inventory_Data!B2:B61,MATCH(MIN(Inventory_Data!F2:F61),Inventory_Data!F2:F61,0))</f>
        <v>Crisps</v>
      </c>
      <c r="E11" s="5" t="s">
        <v>33</v>
      </c>
      <c r="F11">
        <v>133360</v>
      </c>
    </row>
    <row r="12" spans="1:7" x14ac:dyDescent="0.35">
      <c r="A12" s="2" t="s">
        <v>97</v>
      </c>
      <c r="B12" t="s">
        <v>49</v>
      </c>
      <c r="E12" s="5" t="s">
        <v>100</v>
      </c>
      <c r="F12">
        <v>1298170</v>
      </c>
    </row>
  </sheetData>
  <autoFilter ref="A1:B1" xr:uid="{0B3DED60-CF35-4CC1-8BAC-0FC5137AE246}"/>
  <conditionalFormatting sqref="B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Expense_Data</vt:lpstr>
      <vt:lpstr>Inventory_Data</vt:lpstr>
      <vt:lpstr>Employee_Perfomance</vt:lpstr>
      <vt:lpstr>KPI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Wambui</dc:creator>
  <cp:lastModifiedBy>Grace Wambui</cp:lastModifiedBy>
  <dcterms:created xsi:type="dcterms:W3CDTF">2026-05-07T09:07:46Z</dcterms:created>
  <dcterms:modified xsi:type="dcterms:W3CDTF">2026-06-18T06:46:52Z</dcterms:modified>
</cp:coreProperties>
</file>